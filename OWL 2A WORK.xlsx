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2" sheetId="2" r:id="rId1"/>
    <sheet name="Sheet1" sheetId="1" r:id="rId2"/>
  </sheets>
  <definedNames>
    <definedName name="Slicer_PaymentMethod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<sst xmlns="http://schemas.openxmlformats.org/spreadsheetml/2006/main" count="4517" uniqueCount="1923">
  <si>
    <t>Row Labels</t>
  </si>
  <si>
    <t>Sum of TotalPrice</t>
  </si>
  <si>
    <t>Count of CustomerID</t>
  </si>
  <si>
    <t>Average of TotalPrice</t>
  </si>
  <si>
    <t>Chair</t>
  </si>
  <si>
    <t>Desk</t>
  </si>
  <si>
    <t>Laptop</t>
  </si>
  <si>
    <t>Monitor</t>
  </si>
  <si>
    <t>Phone</t>
  </si>
  <si>
    <t>Printer</t>
  </si>
  <si>
    <t>Tablet</t>
  </si>
  <si>
    <t>Grand Total</t>
  </si>
  <si>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</si>
  <si>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</si>
  <si>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</si>
  <si>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</si>
  <si>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</si>
  <si>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</si>
  <si>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</si>
  <si>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</si>
  <si>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</si>
  <si>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</si>
  <si>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</si>
  <si>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</si>
  <si>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</si>
  <si>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</si>
  <si>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</si>
  <si>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</si>
  <si>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</si>
  <si>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</si>
  <si>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</si>
  <si>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</si>
  <si>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</si>
  <si>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</si>
  <si>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</si>
  <si>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</si>
  <si>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823 Main St</t>
  </si>
  <si>
    <t>Online</t>
  </si>
  <si>
    <t>TRK91186779</t>
  </si>
  <si>
    <t>Referral</t>
  </si>
  <si>
    <t>ORD200002</t>
  </si>
  <si>
    <t>C81728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</si>
  <si>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</si>
  <si>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</si>
  <si>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</si>
  <si>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</si>
  <si>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</si>
  <si>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</si>
  <si>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</si>
  <si>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</si>
  <si>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275 Main St</t>
  </si>
  <si>
    <t>Returned</t>
  </si>
  <si>
    <t>TRK62788070</t>
  </si>
  <si>
    <t>Facebook</t>
  </si>
  <si>
    <t>ORD200004</t>
  </si>
  <si>
    <t>C81840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</si>
  <si>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</si>
  <si>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</si>
  <si>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</si>
  <si>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</si>
  <si>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</si>
  <si>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</si>
  <si>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</si>
  <si>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</si>
  <si>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</si>
  <si>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</si>
  <si>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</si>
  <si>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</si>
  <si>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</si>
  <si>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</si>
  <si>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</si>
  <si>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</si>
  <si>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</si>
  <si>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</si>
  <si>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</si>
  <si>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</si>
  <si>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</si>
  <si>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N/A</t>
  </si>
  <si>
    <t>ORD200009</t>
  </si>
  <si>
    <t>C31946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</si>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</sst>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[$₹-4009]\ * #,##0.00_ ;_ [$₹-4009]\ * \-#,##0.00_ ;_ [$₹-4009]\ * &quot;-&quot;??_ ;_ @_ "/>
    <numFmt numFmtId="181" formatCode="yyyy/mm/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 applyAlignment="1">
      <alignment horizontal="center"/>
    </xf>
    <xf numFmtId="181" fontId="0" fillId="0" borderId="0" xfId="0" applyNumberFormat="1"/>
    <xf numFmtId="180" fontId="0" fillId="0" borderId="0" xfId="0" applyNumberFormat="1"/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4">
    <dxf>
      <numFmt numFmtId="180" formatCode="_ [$₹-4009]\ * #,##0.00_ ;_ [$₹-4009]\ * \-#,##0.00_ ;_ [$₹-4009]\ * &quot;-&quot;??_ ;_ @_ "/>
      <alignment horizontal="center"/>
    </dxf>
    <dxf>
      <numFmt numFmtId="180" formatCode="_ [$₹-4009]\ * #,##0.00_ ;_ [$₹-4009]\ * \-#,##0.00_ ;_ [$₹-4009]\ * &quot;-&quot;??_ ;_ @_ "/>
      <alignment horizontal="center"/>
    </dxf>
    <dxf>
      <numFmt numFmtId="180" formatCode="_ [$₹-4009]\ * #,##0.00_ ;_ [$₹-4009]\ * \-#,##0.00_ ;_ [$₹-4009]\ * &quot;-&quot;??_ ;_ @_ "/>
      <alignment horizontal="center"/>
    </dxf>
    <dxf>
      <numFmt numFmtId="180" formatCode="_ [$₹-4009]\ * #,##0.00_ ;_ [$₹-4009]\ * \-#,##0.00_ ;_ [$₹-4009]\ * &quot;-&quot;??_ ;_ @_ "/>
      <alignment horizontal="center"/>
    </dxf>
    <dxf>
      <numFmt numFmtId="180" formatCode="_ [$₹-4009]\ * #,##0.00_ ;_ [$₹-4009]\ * \-#,##0.00_ ;_ [$₹-4009]\ * &quot;-&quot;??_ ;_ @_ "/>
      <alignment horizontal="center"/>
    </dxf>
    <dxf>
      <numFmt numFmtId="180" formatCode="_ [$₹-4009]\ * #,##0.00_ ;_ [$₹-4009]\ * \-#,##0.00_ ;_ [$₹-4009]\ * &quot;-&quot;??_ ;_ @_ "/>
      <alignment horizontal="center"/>
    </dxf>
    <dxf>
      <numFmt numFmtId="180" formatCode="_ [$₹-4009]\ * #,##0.00_ ;_ [$₹-4009]\ * \-#,##0.00_ ;_ [$₹-4009]\ * &quot;-&quot;??_ ;_ @_ "/>
      <alignment horizontal="center"/>
    </dxf>
    <dxf>
      <numFmt numFmtId="180" formatCode="_ [$₹-4009]\ * #,##0.00_ ;_ [$₹-4009]\ * \-#,##0.00_ ;_ [$₹-4009]\ * &quot;-&quot;??_ ;_ @_ "/>
      <alignment horizontal="center"/>
    </dxf>
    <dxf>
      <numFmt numFmtId="180" formatCode="_ [$₹-4009]\ * #,##0.00_ ;_ [$₹-4009]\ * \-#,##0.00_ ;_ [$₹-4009]\ * &quot;-&quot;??_ ;_ @_ "/>
      <alignment horizontal="center"/>
    </dxf>
    <dxf>
      <numFmt numFmtId="180" formatCode="_ [$₹-4009]\ * #,##0.00_ ;_ [$₹-4009]\ * \-#,##0.00_ ;_ [$₹-4009]\ * &quot;-&quot;??_ ;_ @_ "/>
      <alignment horizontal="center"/>
    </dxf>
    <dxf>
      <numFmt numFmtId="180" formatCode="_ [$₹-4009]\ * #,##0.00_ ;_ [$₹-4009]\ * \-#,##0.00_ ;_ [$₹-4009]\ * &quot;-&quot;??_ ;_ @_ "/>
      <alignment horizontal="center"/>
    </dxf>
    <dxf>
      <numFmt numFmtId="180" formatCode="_ [$₹-4009]\ * #,##0.00_ ;_ [$₹-4009]\ * \-#,##0.00_ ;_ [$₹-4009]\ * &quot;-&quot;??_ ;_ @_ "/>
      <alignment horizontal="center"/>
    </dxf>
    <dxf>
      <numFmt numFmtId="180" formatCode="_ [$₹-4009]\ * #,##0.00_ ;_ [$₹-4009]\ * \-#,##0.00_ ;_ [$₹-4009]\ * &quot;-&quot;??_ ;_ @_ "/>
      <alignment horizontal="center"/>
    </dxf>
    <dxf>
      <numFmt numFmtId="180" formatCode="_ [$₹-4009]\ * #,##0.00_ ;_ [$₹-4009]\ * \-#,##0.00_ ;_ [$₹-4009]\ * &quot;-&quot;??_ ;_ @_ "/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[OWL 2A WORK.xlsx]Sheet2!PivotTable2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79796.81</c:v>
                </c:pt>
                <c:pt idx="1">
                  <c:v>67376.24</c:v>
                </c:pt>
                <c:pt idx="2">
                  <c:v>66738.24</c:v>
                </c:pt>
                <c:pt idx="3">
                  <c:v>58360.44</c:v>
                </c:pt>
                <c:pt idx="4">
                  <c:v>65370.79</c:v>
                </c:pt>
                <c:pt idx="5">
                  <c:v>92947.8699999999</c:v>
                </c:pt>
                <c:pt idx="6">
                  <c:v>82209.06</c:v>
                </c:pt>
              </c:numCache>
            </c:numRef>
          </c:val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Sheet2!$C$4:$C$11</c:f>
              <c:numCache>
                <c:formatCode>General</c:formatCode>
                <c:ptCount val="7"/>
                <c:pt idx="0">
                  <c:v>76</c:v>
                </c:pt>
                <c:pt idx="1">
                  <c:v>61</c:v>
                </c:pt>
                <c:pt idx="2">
                  <c:v>61</c:v>
                </c:pt>
                <c:pt idx="3">
                  <c:v>63</c:v>
                </c:pt>
                <c:pt idx="4">
                  <c:v>71</c:v>
                </c:pt>
                <c:pt idx="5">
                  <c:v>89</c:v>
                </c:pt>
                <c:pt idx="6">
                  <c:v>78</c:v>
                </c:pt>
              </c:numCache>
            </c:numRef>
          </c:val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Average of TotalPrice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Sheet2!$D$4:$D$11</c:f>
              <c:numCache>
                <c:formatCode>_ [$₹-4009]\ * #,##0.00_ ;_ [$₹-4009]\ * \-#,##0.00_ ;_ [$₹-4009]\ * "-"??_ ;_ @_ </c:formatCode>
                <c:ptCount val="7"/>
                <c:pt idx="0">
                  <c:v>1049.95802631579</c:v>
                </c:pt>
                <c:pt idx="1">
                  <c:v>1104.52852459016</c:v>
                </c:pt>
                <c:pt idx="2">
                  <c:v>1094.06950819672</c:v>
                </c:pt>
                <c:pt idx="3">
                  <c:v>926.356190476191</c:v>
                </c:pt>
                <c:pt idx="4">
                  <c:v>920.715352112676</c:v>
                </c:pt>
                <c:pt idx="5">
                  <c:v>1044.35808988764</c:v>
                </c:pt>
                <c:pt idx="6">
                  <c:v>1053.96230769231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2266752"/>
        <c:axId val="242259552"/>
      </c:barChart>
      <c:catAx>
        <c:axId val="242266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2259552"/>
        <c:crosses val="autoZero"/>
        <c:auto val="1"/>
        <c:lblAlgn val="ctr"/>
        <c:lblOffset val="100"/>
        <c:noMultiLvlLbl val="0"/>
      </c:catAx>
      <c:valAx>
        <c:axId val="24225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226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f2a5e3-414f-4f60-9934-24c9a85c5e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251460</xdr:colOff>
      <xdr:row>1</xdr:row>
      <xdr:rowOff>106680</xdr:rowOff>
    </xdr:from>
    <xdr:to>
      <xdr:col>8</xdr:col>
      <xdr:colOff>708660</xdr:colOff>
      <xdr:row>11</xdr:row>
      <xdr:rowOff>113030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Payment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6360" y="289560"/>
              <a:ext cx="3383280" cy="1835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335280</xdr:colOff>
      <xdr:row>12</xdr:row>
      <xdr:rowOff>179070</xdr:rowOff>
    </xdr:from>
    <xdr:to>
      <xdr:col>9</xdr:col>
      <xdr:colOff>1905</xdr:colOff>
      <xdr:row>26</xdr:row>
      <xdr:rowOff>34290</xdr:rowOff>
    </xdr:to>
    <xdr:graphicFrame>
      <xdr:nvGraphicFramePr>
        <xdr:cNvPr id="3" name="Chart 2"/>
        <xdr:cNvGraphicFramePr/>
      </xdr:nvGraphicFramePr>
      <xdr:xfrm>
        <a:off x="335280" y="2373630"/>
        <a:ext cx="8239125" cy="2415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964.4112746528" refreshedBy="BHARATH" recordCount="499">
  <cacheSource type="worksheet">
    <worksheetSource name="Table1"/>
  </cacheSource>
  <cacheFields count="14">
    <cacheField name="OrderID" numFmtId="180">
      <sharedItems count="499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</sharedItems>
    </cacheField>
    <cacheField name="Date" numFmtId="180"/>
    <cacheField name="CustomerID" numFmtId="180"/>
    <cacheField name="Product" numFmtId="18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18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180">
      <sharedItems containsSemiMixedTypes="0" containsString="0" containsNumber="1" minValue="12.1" maxValue="697.5" count="499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</sharedItems>
    </cacheField>
    <cacheField name="ShippingAddress" numFmtId="180">
      <sharedItems count="381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</sharedItems>
    </cacheField>
    <cacheField name="PaymentMethod" numFmtId="180">
      <sharedItems count="5">
        <s v="Debit Card"/>
        <s v="Online"/>
        <s v="Credit Card"/>
        <s v="Gift Card"/>
        <s v="Cash"/>
      </sharedItems>
    </cacheField>
    <cacheField name="OrderStatus" numFmtId="180"/>
    <cacheField name="TrackingNumber" numFmtId="180"/>
    <cacheField name="ItemsInCart" numFmtId="180"/>
    <cacheField name="CouponCode" numFmtId="180"/>
    <cacheField name="ReferralSource" numFmtId="180"/>
    <cacheField name="TotalPrice" numFmtId="18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9">
  <r>
    <x v="0"/>
    <n v="44930"/>
    <s v="C72649"/>
    <x v="0"/>
    <x v="0"/>
    <x v="0"/>
    <x v="0"/>
    <x v="0"/>
    <s v="Shipped"/>
    <s v="TRK37947903"/>
    <n v="7"/>
    <s v="SAVE10"/>
    <s v="Instagram"/>
    <n v="2853.1"/>
  </r>
  <r>
    <x v="1"/>
    <n v="45527"/>
    <s v="C75739"/>
    <x v="1"/>
    <x v="1"/>
    <x v="1"/>
    <x v="1"/>
    <x v="1"/>
    <s v="Shipped"/>
    <s v="TRK91186779"/>
    <n v="3"/>
    <s v="SAVE10"/>
    <s v="Referral"/>
    <n v="302.7"/>
  </r>
  <r>
    <x v="2"/>
    <n v="45349"/>
    <s v="C81728"/>
    <x v="2"/>
    <x v="0"/>
    <x v="2"/>
    <x v="2"/>
    <x v="2"/>
    <s v="Cancelled"/>
    <s v="TRK42903982"/>
    <n v="8"/>
    <s v="FREESHIP"/>
    <s v="Email"/>
    <n v="2753.4"/>
  </r>
  <r>
    <x v="3"/>
    <n v="45214"/>
    <s v="C33540"/>
    <x v="3"/>
    <x v="2"/>
    <x v="3"/>
    <x v="3"/>
    <x v="0"/>
    <s v="Returned"/>
    <s v="TRK62788070"/>
    <n v="5"/>
    <s v="SAVE10"/>
    <s v="Facebook"/>
    <n v="273.19"/>
  </r>
  <r>
    <x v="4"/>
    <n v="45785"/>
    <s v="C81840"/>
    <x v="4"/>
    <x v="3"/>
    <x v="4"/>
    <x v="4"/>
    <x v="1"/>
    <s v="Delivered"/>
    <s v="TRK29241424"/>
    <n v="8"/>
    <s v="SAVE10"/>
    <s v="Email"/>
    <n v="2504.04"/>
  </r>
  <r>
    <x v="5"/>
    <n v="45222"/>
    <s v="C37249"/>
    <x v="1"/>
    <x v="1"/>
    <x v="5"/>
    <x v="5"/>
    <x v="2"/>
    <s v="Shipped"/>
    <s v="TRK72976927"/>
    <n v="4"/>
    <s v="SAVE10"/>
    <s v="Instagram"/>
    <n v="491.72"/>
  </r>
  <r>
    <x v="6"/>
    <n v="45825"/>
    <s v="C83492"/>
    <x v="5"/>
    <x v="2"/>
    <x v="6"/>
    <x v="6"/>
    <x v="3"/>
    <s v="Returned"/>
    <s v="TRK96417362"/>
    <n v="6"/>
    <s v="SAVE10"/>
    <s v="Facebook"/>
    <n v="664.42"/>
  </r>
  <r>
    <x v="7"/>
    <n v="45058"/>
    <s v="C41460"/>
    <x v="0"/>
    <x v="0"/>
    <x v="7"/>
    <x v="7"/>
    <x v="4"/>
    <s v="Shipped"/>
    <s v="TRK78809193"/>
    <n v="9"/>
    <s v="FREESHIP"/>
    <s v="Facebook"/>
    <n v="747.75"/>
  </r>
  <r>
    <x v="8"/>
    <n v="45749"/>
    <s v="C26817"/>
    <x v="1"/>
    <x v="1"/>
    <x v="8"/>
    <x v="8"/>
    <x v="3"/>
    <s v="Cancelled"/>
    <s v="TRK61042692"/>
    <n v="2"/>
    <s v="N/A"/>
    <s v="Email"/>
    <n v="268.56"/>
  </r>
  <r>
    <x v="9"/>
    <n v="45251"/>
    <s v="C31946"/>
    <x v="6"/>
    <x v="3"/>
    <x v="9"/>
    <x v="9"/>
    <x v="2"/>
    <s v="Shipped"/>
    <s v="TRK33478363"/>
    <n v="6"/>
    <s v="SAVE10"/>
    <s v="Google"/>
    <n v="2037.52"/>
  </r>
  <r>
    <x v="10"/>
    <n v="45289"/>
    <s v="C43443"/>
    <x v="2"/>
    <x v="0"/>
    <x v="10"/>
    <x v="10"/>
    <x v="2"/>
    <s v="Returned"/>
    <s v="TRK98859248"/>
    <n v="9"/>
    <s v="WINTER15"/>
    <s v="Instagram"/>
    <n v="3129.85"/>
  </r>
  <r>
    <x v="11"/>
    <n v="45339"/>
    <s v="C93861"/>
    <x v="0"/>
    <x v="4"/>
    <x v="11"/>
    <x v="11"/>
    <x v="1"/>
    <s v="Returned"/>
    <s v="TRK48234646"/>
    <n v="7"/>
    <s v="SAVE10"/>
    <s v="Email"/>
    <n v="147.42"/>
  </r>
  <r>
    <x v="12"/>
    <n v="45580"/>
    <s v="C38785"/>
    <x v="0"/>
    <x v="1"/>
    <x v="12"/>
    <x v="12"/>
    <x v="0"/>
    <s v="Pending"/>
    <s v="TRK20419991"/>
    <n v="6"/>
    <s v="FREESHIP"/>
    <s v="Referral"/>
    <n v="361"/>
  </r>
  <r>
    <x v="13"/>
    <n v="45168"/>
    <s v="C88348"/>
    <x v="5"/>
    <x v="4"/>
    <x v="13"/>
    <x v="13"/>
    <x v="2"/>
    <s v="Returned"/>
    <s v="TRK81913874"/>
    <n v="4"/>
    <s v="FREESHIP"/>
    <s v="Facebook"/>
    <n v="604.47"/>
  </r>
  <r>
    <x v="14"/>
    <n v="45012"/>
    <s v="C98474"/>
    <x v="2"/>
    <x v="1"/>
    <x v="14"/>
    <x v="14"/>
    <x v="0"/>
    <s v="Pending"/>
    <s v="TRK79186539"/>
    <n v="3"/>
    <s v="SAVE10"/>
    <s v="Instagram"/>
    <n v="786.66"/>
  </r>
  <r>
    <x v="15"/>
    <n v="45124"/>
    <s v="C39416"/>
    <x v="4"/>
    <x v="2"/>
    <x v="15"/>
    <x v="15"/>
    <x v="4"/>
    <s v="Delivered"/>
    <s v="TRK54930938"/>
    <n v="3"/>
    <s v="N/A"/>
    <s v="Google"/>
    <n v="473.96"/>
  </r>
  <r>
    <x v="16"/>
    <n v="44950"/>
    <s v="C28976"/>
    <x v="4"/>
    <x v="1"/>
    <x v="16"/>
    <x v="16"/>
    <x v="2"/>
    <s v="Pending"/>
    <s v="TRK13194259"/>
    <n v="3"/>
    <s v="FREESHIP"/>
    <s v="Email"/>
    <n v="1067.62"/>
  </r>
  <r>
    <x v="17"/>
    <n v="45353"/>
    <s v="C60672"/>
    <x v="2"/>
    <x v="2"/>
    <x v="17"/>
    <x v="17"/>
    <x v="0"/>
    <s v="Shipped"/>
    <s v="TRK11972116"/>
    <n v="3"/>
    <s v="N/A"/>
    <s v="Referral"/>
    <n v="423.4"/>
  </r>
  <r>
    <x v="18"/>
    <n v="45742"/>
    <s v="C84329"/>
    <x v="6"/>
    <x v="2"/>
    <x v="18"/>
    <x v="18"/>
    <x v="3"/>
    <s v="Pending"/>
    <s v="TRK65191045"/>
    <n v="3"/>
    <s v="SAVE10"/>
    <s v="Facebook"/>
    <n v="431.44"/>
  </r>
  <r>
    <x v="19"/>
    <n v="44949"/>
    <s v="C14552"/>
    <x v="0"/>
    <x v="0"/>
    <x v="19"/>
    <x v="19"/>
    <x v="4"/>
    <s v="Returned"/>
    <s v="TRK59101365"/>
    <n v="9"/>
    <s v="SAVE10"/>
    <s v="Google"/>
    <n v="1120"/>
  </r>
  <r>
    <x v="20"/>
    <n v="45054"/>
    <s v="C54829"/>
    <x v="3"/>
    <x v="0"/>
    <x v="20"/>
    <x v="20"/>
    <x v="4"/>
    <s v="Pending"/>
    <s v="TRK16718651"/>
    <n v="9"/>
    <s v="WINTER15"/>
    <s v="Instagram"/>
    <n v="312.55"/>
  </r>
  <r>
    <x v="21"/>
    <n v="45613"/>
    <s v="C99023"/>
    <x v="0"/>
    <x v="3"/>
    <x v="21"/>
    <x v="21"/>
    <x v="4"/>
    <s v="Delivered"/>
    <s v="TRK52646983"/>
    <n v="6"/>
    <s v="N/A"/>
    <s v="Google"/>
    <n v="1371.8"/>
  </r>
  <r>
    <x v="22"/>
    <n v="44955"/>
    <s v="C34416"/>
    <x v="0"/>
    <x v="1"/>
    <x v="22"/>
    <x v="22"/>
    <x v="1"/>
    <s v="Pending"/>
    <s v="TRK75937350"/>
    <n v="2"/>
    <s v="SAVE10"/>
    <s v="Google"/>
    <n v="99.24"/>
  </r>
  <r>
    <x v="23"/>
    <n v="45756"/>
    <s v="C42372"/>
    <x v="1"/>
    <x v="3"/>
    <x v="23"/>
    <x v="23"/>
    <x v="0"/>
    <s v="Cancelled"/>
    <s v="TRK36168083"/>
    <n v="5"/>
    <s v="FREESHIP"/>
    <s v="Referral"/>
    <n v="1093"/>
  </r>
  <r>
    <x v="24"/>
    <n v="45595"/>
    <s v="C17470"/>
    <x v="5"/>
    <x v="1"/>
    <x v="24"/>
    <x v="24"/>
    <x v="1"/>
    <s v="Delivered"/>
    <s v="TRK28775057"/>
    <n v="3"/>
    <s v="WINTER15"/>
    <s v="Referral"/>
    <n v="461.9"/>
  </r>
  <r>
    <x v="25"/>
    <n v="45497"/>
    <s v="C42577"/>
    <x v="0"/>
    <x v="2"/>
    <x v="25"/>
    <x v="25"/>
    <x v="0"/>
    <s v="Delivered"/>
    <s v="TRK69423327"/>
    <n v="3"/>
    <s v="WINTER15"/>
    <s v="Email"/>
    <n v="399.98"/>
  </r>
  <r>
    <x v="26"/>
    <n v="45357"/>
    <s v="C21944"/>
    <x v="5"/>
    <x v="0"/>
    <x v="26"/>
    <x v="26"/>
    <x v="1"/>
    <s v="Delivered"/>
    <s v="TRK80276812"/>
    <n v="6"/>
    <s v="N/A"/>
    <s v="Referral"/>
    <n v="297.75"/>
  </r>
  <r>
    <x v="27"/>
    <n v="45344"/>
    <s v="C97593"/>
    <x v="4"/>
    <x v="2"/>
    <x v="27"/>
    <x v="27"/>
    <x v="1"/>
    <s v="Shipped"/>
    <s v="TRK89117573"/>
    <n v="6"/>
    <s v="WINTER15"/>
    <s v="Google"/>
    <n v="472.74"/>
  </r>
  <r>
    <x v="28"/>
    <n v="45251"/>
    <s v="C59823"/>
    <x v="1"/>
    <x v="3"/>
    <x v="28"/>
    <x v="28"/>
    <x v="1"/>
    <s v="Pending"/>
    <s v="TRK65895539"/>
    <n v="5"/>
    <s v="N/A"/>
    <s v="Email"/>
    <n v="640.28"/>
  </r>
  <r>
    <x v="29"/>
    <n v="45555"/>
    <s v="C33260"/>
    <x v="6"/>
    <x v="4"/>
    <x v="29"/>
    <x v="29"/>
    <x v="2"/>
    <s v="Delivered"/>
    <s v="TRK59744090"/>
    <n v="6"/>
    <s v="SAVE10"/>
    <s v="Referral"/>
    <n v="1270.59"/>
  </r>
  <r>
    <x v="30"/>
    <n v="45738"/>
    <s v="C44267"/>
    <x v="0"/>
    <x v="1"/>
    <x v="30"/>
    <x v="30"/>
    <x v="1"/>
    <s v="Pending"/>
    <s v="TRK54751444"/>
    <n v="5"/>
    <s v="SAVE10"/>
    <s v="Referral"/>
    <n v="853.4"/>
  </r>
  <r>
    <x v="31"/>
    <n v="45107"/>
    <s v="C26445"/>
    <x v="3"/>
    <x v="4"/>
    <x v="31"/>
    <x v="31"/>
    <x v="0"/>
    <s v="Returned"/>
    <s v="TRK31229981"/>
    <n v="6"/>
    <s v="N/A"/>
    <s v="Facebook"/>
    <n v="1500.24"/>
  </r>
  <r>
    <x v="32"/>
    <n v="45047"/>
    <s v="C12388"/>
    <x v="2"/>
    <x v="0"/>
    <x v="32"/>
    <x v="32"/>
    <x v="4"/>
    <s v="Delivered"/>
    <s v="TRK99261395"/>
    <n v="10"/>
    <s v="N/A"/>
    <s v="Email"/>
    <n v="2683.6"/>
  </r>
  <r>
    <x v="33"/>
    <n v="45082"/>
    <s v="C52184"/>
    <x v="3"/>
    <x v="2"/>
    <x v="33"/>
    <x v="33"/>
    <x v="1"/>
    <s v="Cancelled"/>
    <s v="TRK73312471"/>
    <n v="4"/>
    <s v="WINTER15"/>
    <s v="Facebook"/>
    <n v="162.77"/>
  </r>
  <r>
    <x v="34"/>
    <n v="44933"/>
    <s v="C67195"/>
    <x v="3"/>
    <x v="3"/>
    <x v="34"/>
    <x v="34"/>
    <x v="2"/>
    <s v="Pending"/>
    <s v="TRK55467915"/>
    <n v="5"/>
    <s v="WINTER15"/>
    <s v="Facebook"/>
    <n v="2306.08"/>
  </r>
  <r>
    <x v="35"/>
    <n v="45633"/>
    <s v="C50304"/>
    <x v="0"/>
    <x v="1"/>
    <x v="35"/>
    <x v="35"/>
    <x v="1"/>
    <s v="Shipped"/>
    <s v="TRK46850888"/>
    <n v="2"/>
    <s v="SAVE10"/>
    <s v="Facebook"/>
    <n v="930.3"/>
  </r>
  <r>
    <x v="36"/>
    <n v="45785"/>
    <s v="C59337"/>
    <x v="5"/>
    <x v="1"/>
    <x v="36"/>
    <x v="36"/>
    <x v="0"/>
    <s v="Pending"/>
    <s v="TRK50961250"/>
    <n v="5"/>
    <s v="N/A"/>
    <s v="Facebook"/>
    <n v="1068.86"/>
  </r>
  <r>
    <x v="37"/>
    <n v="45579"/>
    <s v="C10054"/>
    <x v="5"/>
    <x v="1"/>
    <x v="37"/>
    <x v="37"/>
    <x v="4"/>
    <s v="Returned"/>
    <s v="TRK94005261"/>
    <n v="7"/>
    <s v="SAVE10"/>
    <s v="Instagram"/>
    <n v="153.48"/>
  </r>
  <r>
    <x v="38"/>
    <n v="45645"/>
    <s v="C15924"/>
    <x v="5"/>
    <x v="2"/>
    <x v="38"/>
    <x v="38"/>
    <x v="0"/>
    <s v="Delivered"/>
    <s v="TRK14835975"/>
    <n v="3"/>
    <s v="SAVE10"/>
    <s v="Google"/>
    <n v="245.89"/>
  </r>
  <r>
    <x v="39"/>
    <n v="45715"/>
    <s v="C96664"/>
    <x v="4"/>
    <x v="4"/>
    <x v="39"/>
    <x v="39"/>
    <x v="2"/>
    <s v="Delivered"/>
    <s v="TRK85508960"/>
    <n v="4"/>
    <s v="SAVE10"/>
    <s v="Referral"/>
    <n v="769.38"/>
  </r>
  <r>
    <x v="40"/>
    <n v="45158"/>
    <s v="C84766"/>
    <x v="6"/>
    <x v="1"/>
    <x v="40"/>
    <x v="40"/>
    <x v="1"/>
    <s v="Delivered"/>
    <s v="TRK78967923"/>
    <n v="4"/>
    <s v="FREESHIP"/>
    <s v="Instagram"/>
    <n v="688.04"/>
  </r>
  <r>
    <x v="41"/>
    <n v="45265"/>
    <s v="C20212"/>
    <x v="0"/>
    <x v="4"/>
    <x v="41"/>
    <x v="41"/>
    <x v="3"/>
    <s v="Pending"/>
    <s v="TRK69733327"/>
    <n v="4"/>
    <s v="FREESHIP"/>
    <s v="Instagram"/>
    <n v="1834.35"/>
  </r>
  <r>
    <x v="42"/>
    <n v="45418"/>
    <s v="C28712"/>
    <x v="4"/>
    <x v="1"/>
    <x v="42"/>
    <x v="14"/>
    <x v="4"/>
    <s v="Cancelled"/>
    <s v="TRK40772558"/>
    <n v="6"/>
    <s v="N/A"/>
    <s v="Instagram"/>
    <n v="303.32"/>
  </r>
  <r>
    <x v="43"/>
    <n v="45274"/>
    <s v="C60572"/>
    <x v="3"/>
    <x v="4"/>
    <x v="43"/>
    <x v="42"/>
    <x v="1"/>
    <s v="Cancelled"/>
    <s v="TRK20351666"/>
    <n v="8"/>
    <s v="N/A"/>
    <s v="Instagram"/>
    <n v="1497.63"/>
  </r>
  <r>
    <x v="44"/>
    <n v="45768"/>
    <s v="C73225"/>
    <x v="1"/>
    <x v="1"/>
    <x v="44"/>
    <x v="31"/>
    <x v="3"/>
    <s v="Returned"/>
    <s v="TRK73848522"/>
    <n v="3"/>
    <s v="FREESHIP"/>
    <s v="Referral"/>
    <n v="1100.36"/>
  </r>
  <r>
    <x v="45"/>
    <n v="45332"/>
    <s v="C17388"/>
    <x v="3"/>
    <x v="2"/>
    <x v="45"/>
    <x v="43"/>
    <x v="0"/>
    <s v="Returned"/>
    <s v="TRK47077395"/>
    <n v="1"/>
    <s v="SAVE10"/>
    <s v="Facebook"/>
    <n v="317.25"/>
  </r>
  <r>
    <x v="46"/>
    <n v="45469"/>
    <s v="C43212"/>
    <x v="0"/>
    <x v="3"/>
    <x v="46"/>
    <x v="44"/>
    <x v="0"/>
    <s v="Pending"/>
    <s v="TRK25100762"/>
    <n v="4"/>
    <s v="FREESHIP"/>
    <s v="Instagram"/>
    <n v="2200.56"/>
  </r>
  <r>
    <x v="47"/>
    <n v="45126"/>
    <s v="C38134"/>
    <x v="6"/>
    <x v="1"/>
    <x v="47"/>
    <x v="45"/>
    <x v="2"/>
    <s v="Returned"/>
    <s v="TRK42450754"/>
    <n v="3"/>
    <s v="FREESHIP"/>
    <s v="Email"/>
    <n v="419.88"/>
  </r>
  <r>
    <x v="48"/>
    <n v="45164"/>
    <s v="C12408"/>
    <x v="0"/>
    <x v="1"/>
    <x v="48"/>
    <x v="46"/>
    <x v="0"/>
    <s v="Shipped"/>
    <s v="TRK38938858"/>
    <n v="4"/>
    <s v="N/A"/>
    <s v="Google"/>
    <n v="161.54"/>
  </r>
  <r>
    <x v="49"/>
    <n v="45206"/>
    <s v="C11985"/>
    <x v="4"/>
    <x v="2"/>
    <x v="49"/>
    <x v="22"/>
    <x v="2"/>
    <s v="Shipped"/>
    <s v="TRK53272402"/>
    <n v="1"/>
    <s v="SAVE10"/>
    <s v="Email"/>
    <n v="30.44"/>
  </r>
  <r>
    <x v="50"/>
    <n v="45138"/>
    <s v="C96494"/>
    <x v="2"/>
    <x v="2"/>
    <x v="50"/>
    <x v="47"/>
    <x v="1"/>
    <s v="Cancelled"/>
    <s v="TRK14675049"/>
    <n v="6"/>
    <s v="FREESHIP"/>
    <s v="Instagram"/>
    <n v="179.22"/>
  </r>
  <r>
    <x v="51"/>
    <n v="45656"/>
    <s v="C36778"/>
    <x v="2"/>
    <x v="2"/>
    <x v="51"/>
    <x v="48"/>
    <x v="4"/>
    <s v="Returned"/>
    <s v="TRK67610289"/>
    <n v="2"/>
    <s v="SAVE10"/>
    <s v="Facebook"/>
    <n v="388.33"/>
  </r>
  <r>
    <x v="52"/>
    <n v="45543"/>
    <s v="C30513"/>
    <x v="2"/>
    <x v="2"/>
    <x v="52"/>
    <x v="49"/>
    <x v="1"/>
    <s v="Returned"/>
    <s v="TRK64320429"/>
    <n v="5"/>
    <s v="SAVE10"/>
    <s v="Facebook"/>
    <n v="586.44"/>
  </r>
  <r>
    <x v="53"/>
    <n v="45430"/>
    <s v="C67551"/>
    <x v="1"/>
    <x v="3"/>
    <x v="53"/>
    <x v="2"/>
    <x v="1"/>
    <s v="Returned"/>
    <s v="TRK94992552"/>
    <n v="5"/>
    <s v="FREESHIP"/>
    <s v="Google"/>
    <n v="1955.12"/>
  </r>
  <r>
    <x v="54"/>
    <n v="45743"/>
    <s v="C48120"/>
    <x v="3"/>
    <x v="2"/>
    <x v="54"/>
    <x v="50"/>
    <x v="1"/>
    <s v="Pending"/>
    <s v="TRK11014449"/>
    <n v="5"/>
    <s v="WINTER15"/>
    <s v="Email"/>
    <n v="280.25"/>
  </r>
  <r>
    <x v="55"/>
    <n v="45832"/>
    <s v="C95984"/>
    <x v="4"/>
    <x v="4"/>
    <x v="55"/>
    <x v="51"/>
    <x v="1"/>
    <s v="Cancelled"/>
    <s v="TRK67434829"/>
    <n v="3"/>
    <s v="N/A"/>
    <s v="Facebook"/>
    <n v="1033.2"/>
  </r>
  <r>
    <x v="56"/>
    <n v="45067"/>
    <s v="C54298"/>
    <x v="2"/>
    <x v="4"/>
    <x v="56"/>
    <x v="52"/>
    <x v="4"/>
    <s v="Cancelled"/>
    <s v="TRK62902341"/>
    <n v="5"/>
    <s v="WINTER15"/>
    <s v="Referral"/>
    <n v="1437.63"/>
  </r>
  <r>
    <x v="57"/>
    <n v="44948"/>
    <s v="C88036"/>
    <x v="4"/>
    <x v="0"/>
    <x v="57"/>
    <x v="53"/>
    <x v="4"/>
    <s v="Returned"/>
    <s v="TRK52470128"/>
    <n v="6"/>
    <s v="SAVE10"/>
    <s v="Instagram"/>
    <n v="1571.35"/>
  </r>
  <r>
    <x v="58"/>
    <n v="44941"/>
    <s v="C60190"/>
    <x v="1"/>
    <x v="3"/>
    <x v="58"/>
    <x v="54"/>
    <x v="3"/>
    <s v="Cancelled"/>
    <s v="TRK70857868"/>
    <n v="6"/>
    <s v="SAVE10"/>
    <s v="Google"/>
    <n v="1898.76"/>
  </r>
  <r>
    <x v="59"/>
    <n v="45546"/>
    <s v="C97603"/>
    <x v="3"/>
    <x v="3"/>
    <x v="59"/>
    <x v="55"/>
    <x v="1"/>
    <s v="Shipped"/>
    <s v="TRK47055028"/>
    <n v="5"/>
    <s v="N/A"/>
    <s v="Facebook"/>
    <n v="2373.08"/>
  </r>
  <r>
    <x v="60"/>
    <n v="45525"/>
    <s v="C39256"/>
    <x v="6"/>
    <x v="2"/>
    <x v="60"/>
    <x v="56"/>
    <x v="0"/>
    <s v="Returned"/>
    <s v="TRK23412025"/>
    <n v="3"/>
    <s v="FREESHIP"/>
    <s v="Referral"/>
    <n v="417.1"/>
  </r>
  <r>
    <x v="61"/>
    <n v="45375"/>
    <s v="C61618"/>
    <x v="6"/>
    <x v="3"/>
    <x v="61"/>
    <x v="57"/>
    <x v="4"/>
    <s v="Delivered"/>
    <s v="TRK43458485"/>
    <n v="7"/>
    <s v="FREESHIP"/>
    <s v="Facebook"/>
    <n v="488.8"/>
  </r>
  <r>
    <x v="62"/>
    <n v="45160"/>
    <s v="C36497"/>
    <x v="6"/>
    <x v="1"/>
    <x v="62"/>
    <x v="58"/>
    <x v="0"/>
    <s v="Pending"/>
    <s v="TRK12102911"/>
    <n v="3"/>
    <s v="WINTER15"/>
    <s v="Email"/>
    <n v="86.3"/>
  </r>
  <r>
    <x v="63"/>
    <n v="45690"/>
    <s v="C96695"/>
    <x v="3"/>
    <x v="2"/>
    <x v="63"/>
    <x v="59"/>
    <x v="0"/>
    <s v="Shipped"/>
    <s v="TRK64283851"/>
    <n v="6"/>
    <s v="WINTER15"/>
    <s v="Referral"/>
    <n v="564.86"/>
  </r>
  <r>
    <x v="64"/>
    <n v="45833"/>
    <s v="C49720"/>
    <x v="4"/>
    <x v="4"/>
    <x v="64"/>
    <x v="60"/>
    <x v="0"/>
    <s v="Cancelled"/>
    <s v="TRK55785217"/>
    <n v="4"/>
    <s v="FREESHIP"/>
    <s v="Facebook"/>
    <n v="391.83"/>
  </r>
  <r>
    <x v="65"/>
    <n v="45290"/>
    <s v="C97735"/>
    <x v="0"/>
    <x v="0"/>
    <x v="65"/>
    <x v="61"/>
    <x v="2"/>
    <s v="Delivered"/>
    <s v="TRK13743703"/>
    <n v="6"/>
    <s v="N/A"/>
    <s v="Instagram"/>
    <n v="408.5"/>
  </r>
  <r>
    <x v="66"/>
    <n v="45611"/>
    <s v="C18104"/>
    <x v="3"/>
    <x v="0"/>
    <x v="66"/>
    <x v="62"/>
    <x v="4"/>
    <s v="Cancelled"/>
    <s v="TRK15488568"/>
    <n v="9"/>
    <s v="SAVE10"/>
    <s v="Referral"/>
    <n v="635.9"/>
  </r>
  <r>
    <x v="67"/>
    <n v="45635"/>
    <s v="C25587"/>
    <x v="4"/>
    <x v="3"/>
    <x v="67"/>
    <x v="63"/>
    <x v="0"/>
    <s v="Cancelled"/>
    <s v="TRK55105323"/>
    <n v="8"/>
    <s v="N/A"/>
    <s v="Google"/>
    <n v="48.4"/>
  </r>
  <r>
    <x v="68"/>
    <n v="45271"/>
    <s v="C41598"/>
    <x v="3"/>
    <x v="4"/>
    <x v="68"/>
    <x v="25"/>
    <x v="2"/>
    <s v="Pending"/>
    <s v="TRK81665940"/>
    <n v="5"/>
    <s v="FREESHIP"/>
    <s v="Email"/>
    <n v="1472.76"/>
  </r>
  <r>
    <x v="69"/>
    <n v="45057"/>
    <s v="C43338"/>
    <x v="0"/>
    <x v="4"/>
    <x v="69"/>
    <x v="64"/>
    <x v="1"/>
    <s v="Shipped"/>
    <s v="TRK35241775"/>
    <n v="4"/>
    <s v="N/A"/>
    <s v="Referral"/>
    <n v="1435.95"/>
  </r>
  <r>
    <x v="70"/>
    <n v="45072"/>
    <s v="C25123"/>
    <x v="6"/>
    <x v="2"/>
    <x v="70"/>
    <x v="65"/>
    <x v="3"/>
    <s v="Pending"/>
    <s v="TRK27812282"/>
    <n v="2"/>
    <s v="FREESHIP"/>
    <s v="Instagram"/>
    <n v="629.21"/>
  </r>
  <r>
    <x v="71"/>
    <n v="45818"/>
    <s v="C37454"/>
    <x v="0"/>
    <x v="4"/>
    <x v="71"/>
    <x v="66"/>
    <x v="2"/>
    <s v="Pending"/>
    <s v="TRK28252730"/>
    <n v="4"/>
    <s v="N/A"/>
    <s v="Referral"/>
    <n v="1303.35"/>
  </r>
  <r>
    <x v="72"/>
    <n v="45648"/>
    <s v="C19451"/>
    <x v="2"/>
    <x v="3"/>
    <x v="72"/>
    <x v="15"/>
    <x v="3"/>
    <s v="Returned"/>
    <s v="TRK87787793"/>
    <n v="5"/>
    <s v="N/A"/>
    <s v="Facebook"/>
    <n v="2357.76"/>
  </r>
  <r>
    <x v="73"/>
    <n v="45049"/>
    <s v="C17269"/>
    <x v="0"/>
    <x v="3"/>
    <x v="73"/>
    <x v="67"/>
    <x v="3"/>
    <s v="Cancelled"/>
    <s v="TRK79608389"/>
    <n v="4"/>
    <s v="N/A"/>
    <s v="Facebook"/>
    <n v="1733.8"/>
  </r>
  <r>
    <x v="74"/>
    <n v="45101"/>
    <s v="C25382"/>
    <x v="1"/>
    <x v="0"/>
    <x v="74"/>
    <x v="68"/>
    <x v="4"/>
    <s v="Pending"/>
    <s v="TRK64691287"/>
    <n v="5"/>
    <s v="N/A"/>
    <s v="Instagram"/>
    <n v="454.35"/>
  </r>
  <r>
    <x v="75"/>
    <n v="45195"/>
    <s v="C80651"/>
    <x v="2"/>
    <x v="4"/>
    <x v="75"/>
    <x v="69"/>
    <x v="0"/>
    <s v="Delivered"/>
    <s v="TRK14846720"/>
    <n v="5"/>
    <s v="SAVE10"/>
    <s v="Email"/>
    <n v="1194.51"/>
  </r>
  <r>
    <x v="76"/>
    <n v="45382"/>
    <s v="C58638"/>
    <x v="5"/>
    <x v="3"/>
    <x v="76"/>
    <x v="70"/>
    <x v="4"/>
    <s v="Cancelled"/>
    <s v="TRK38224871"/>
    <n v="6"/>
    <s v="WINTER15"/>
    <s v="Email"/>
    <n v="1531.52"/>
  </r>
  <r>
    <x v="77"/>
    <n v="45436"/>
    <s v="C50121"/>
    <x v="1"/>
    <x v="2"/>
    <x v="77"/>
    <x v="71"/>
    <x v="2"/>
    <s v="Returned"/>
    <s v="TRK79810059"/>
    <n v="5"/>
    <s v="N/A"/>
    <s v="Google"/>
    <n v="583.18"/>
  </r>
  <r>
    <x v="78"/>
    <n v="45510"/>
    <s v="C32029"/>
    <x v="4"/>
    <x v="3"/>
    <x v="78"/>
    <x v="72"/>
    <x v="0"/>
    <s v="Delivered"/>
    <s v="TRK68535532"/>
    <n v="4"/>
    <s v="FREESHIP"/>
    <s v="Instagram"/>
    <n v="701.44"/>
  </r>
  <r>
    <x v="79"/>
    <n v="45726"/>
    <s v="C76700"/>
    <x v="2"/>
    <x v="1"/>
    <x v="79"/>
    <x v="73"/>
    <x v="1"/>
    <s v="Shipped"/>
    <s v="TRK13036341"/>
    <n v="2"/>
    <s v="N/A"/>
    <s v="Facebook"/>
    <n v="623.82"/>
  </r>
  <r>
    <x v="80"/>
    <n v="45104"/>
    <s v="C29041"/>
    <x v="1"/>
    <x v="4"/>
    <x v="80"/>
    <x v="74"/>
    <x v="1"/>
    <s v="Returned"/>
    <s v="TRK28840655"/>
    <n v="6"/>
    <s v="N/A"/>
    <s v="Facebook"/>
    <n v="1768.68"/>
  </r>
  <r>
    <x v="81"/>
    <n v="45085"/>
    <s v="C29314"/>
    <x v="0"/>
    <x v="1"/>
    <x v="81"/>
    <x v="75"/>
    <x v="4"/>
    <s v="Shipped"/>
    <s v="TRK59876213"/>
    <n v="6"/>
    <s v="FREESHIP"/>
    <s v="Email"/>
    <n v="788.6"/>
  </r>
  <r>
    <x v="82"/>
    <n v="45296"/>
    <s v="C65799"/>
    <x v="2"/>
    <x v="3"/>
    <x v="82"/>
    <x v="76"/>
    <x v="0"/>
    <s v="Shipped"/>
    <s v="TRK66906607"/>
    <n v="9"/>
    <s v="SAVE10"/>
    <s v="Google"/>
    <n v="2260.8"/>
  </r>
  <r>
    <x v="83"/>
    <n v="45160"/>
    <s v="C15681"/>
    <x v="5"/>
    <x v="3"/>
    <x v="83"/>
    <x v="77"/>
    <x v="2"/>
    <s v="Cancelled"/>
    <s v="TRK75112172"/>
    <n v="6"/>
    <s v="N/A"/>
    <s v="Referral"/>
    <n v="2161.64"/>
  </r>
  <r>
    <x v="84"/>
    <n v="45166"/>
    <s v="C64160"/>
    <x v="0"/>
    <x v="1"/>
    <x v="84"/>
    <x v="78"/>
    <x v="1"/>
    <s v="Shipped"/>
    <s v="TRK34121529"/>
    <n v="4"/>
    <s v="WINTER15"/>
    <s v="Instagram"/>
    <n v="330.98"/>
  </r>
  <r>
    <x v="85"/>
    <n v="45544"/>
    <s v="C14553"/>
    <x v="2"/>
    <x v="4"/>
    <x v="85"/>
    <x v="79"/>
    <x v="4"/>
    <s v="Delivered"/>
    <s v="TRK93538334"/>
    <n v="8"/>
    <s v="FREESHIP"/>
    <s v="Email"/>
    <n v="440.19"/>
  </r>
  <r>
    <x v="86"/>
    <n v="45462"/>
    <s v="C88205"/>
    <x v="4"/>
    <x v="0"/>
    <x v="86"/>
    <x v="80"/>
    <x v="1"/>
    <s v="Cancelled"/>
    <s v="TRK93504166"/>
    <n v="5"/>
    <s v="FREESHIP"/>
    <s v="Referral"/>
    <n v="3215.15"/>
  </r>
  <r>
    <x v="87"/>
    <n v="45575"/>
    <s v="C91245"/>
    <x v="2"/>
    <x v="4"/>
    <x v="87"/>
    <x v="81"/>
    <x v="4"/>
    <s v="Shipped"/>
    <s v="TRK46976391"/>
    <n v="4"/>
    <s v="SAVE10"/>
    <s v="Facebook"/>
    <n v="675.33"/>
  </r>
  <r>
    <x v="88"/>
    <n v="45813"/>
    <s v="C75439"/>
    <x v="6"/>
    <x v="4"/>
    <x v="88"/>
    <x v="82"/>
    <x v="3"/>
    <s v="Cancelled"/>
    <s v="TRK19831653"/>
    <n v="7"/>
    <s v="N/A"/>
    <s v="Google"/>
    <n v="344.43"/>
  </r>
  <r>
    <x v="89"/>
    <n v="45713"/>
    <s v="C17181"/>
    <x v="4"/>
    <x v="0"/>
    <x v="89"/>
    <x v="83"/>
    <x v="2"/>
    <s v="Cancelled"/>
    <s v="TRK78912978"/>
    <n v="8"/>
    <s v="FREESHIP"/>
    <s v="Google"/>
    <n v="2276.65"/>
  </r>
  <r>
    <x v="90"/>
    <n v="45187"/>
    <s v="C36540"/>
    <x v="3"/>
    <x v="3"/>
    <x v="90"/>
    <x v="84"/>
    <x v="3"/>
    <s v="Delivered"/>
    <s v="TRK35828122"/>
    <n v="4"/>
    <s v="SAVE10"/>
    <s v="Email"/>
    <n v="728.32"/>
  </r>
  <r>
    <x v="91"/>
    <n v="45000"/>
    <s v="C98216"/>
    <x v="5"/>
    <x v="0"/>
    <x v="91"/>
    <x v="85"/>
    <x v="4"/>
    <s v="Shipped"/>
    <s v="TRK40986666"/>
    <n v="6"/>
    <s v="WINTER15"/>
    <s v="Referral"/>
    <n v="2463.75"/>
  </r>
  <r>
    <x v="92"/>
    <n v="45453"/>
    <s v="C29568"/>
    <x v="4"/>
    <x v="3"/>
    <x v="92"/>
    <x v="86"/>
    <x v="1"/>
    <s v="Shipped"/>
    <s v="TRK46531075"/>
    <n v="7"/>
    <s v="FREESHIP"/>
    <s v="Facebook"/>
    <n v="194.44"/>
  </r>
  <r>
    <x v="93"/>
    <n v="44940"/>
    <s v="C97262"/>
    <x v="6"/>
    <x v="3"/>
    <x v="93"/>
    <x v="87"/>
    <x v="2"/>
    <s v="Returned"/>
    <s v="TRK65990229"/>
    <n v="7"/>
    <s v="N/A"/>
    <s v="Referral"/>
    <n v="1724.04"/>
  </r>
  <r>
    <x v="94"/>
    <n v="44968"/>
    <s v="C79821"/>
    <x v="3"/>
    <x v="2"/>
    <x v="94"/>
    <x v="88"/>
    <x v="3"/>
    <s v="Returned"/>
    <s v="TRK12780193"/>
    <n v="6"/>
    <s v="WINTER15"/>
    <s v="Instagram"/>
    <n v="531.18"/>
  </r>
  <r>
    <x v="95"/>
    <n v="45009"/>
    <s v="C76761"/>
    <x v="4"/>
    <x v="3"/>
    <x v="95"/>
    <x v="89"/>
    <x v="0"/>
    <s v="Returned"/>
    <s v="TRK60179774"/>
    <n v="7"/>
    <s v="N/A"/>
    <s v="Referral"/>
    <n v="470.04"/>
  </r>
  <r>
    <x v="96"/>
    <n v="45444"/>
    <s v="C93007"/>
    <x v="1"/>
    <x v="1"/>
    <x v="96"/>
    <x v="73"/>
    <x v="3"/>
    <s v="Delivered"/>
    <s v="TRK85696091"/>
    <n v="7"/>
    <s v="N/A"/>
    <s v="Instagram"/>
    <n v="465.66"/>
  </r>
  <r>
    <x v="97"/>
    <n v="45678"/>
    <s v="C15624"/>
    <x v="2"/>
    <x v="0"/>
    <x v="97"/>
    <x v="90"/>
    <x v="0"/>
    <s v="Pending"/>
    <s v="TRK40621141"/>
    <n v="9"/>
    <s v="N/A"/>
    <s v="Email"/>
    <n v="3097.6"/>
  </r>
  <r>
    <x v="98"/>
    <n v="44940"/>
    <s v="C70921"/>
    <x v="4"/>
    <x v="1"/>
    <x v="98"/>
    <x v="91"/>
    <x v="0"/>
    <s v="Pending"/>
    <s v="TRK54983109"/>
    <n v="3"/>
    <s v="N/A"/>
    <s v="Email"/>
    <n v="457.08"/>
  </r>
  <r>
    <x v="99"/>
    <n v="45759"/>
    <s v="C30477"/>
    <x v="4"/>
    <x v="2"/>
    <x v="99"/>
    <x v="92"/>
    <x v="0"/>
    <s v="Cancelled"/>
    <s v="TRK51829648"/>
    <n v="2"/>
    <s v="WINTER15"/>
    <s v="Email"/>
    <n v="201.58"/>
  </r>
  <r>
    <x v="100"/>
    <n v="44974"/>
    <s v="C74866"/>
    <x v="1"/>
    <x v="4"/>
    <x v="100"/>
    <x v="93"/>
    <x v="1"/>
    <s v="Delivered"/>
    <s v="TRK53783265"/>
    <n v="6"/>
    <s v="N/A"/>
    <s v="Facebook"/>
    <n v="1994.37"/>
  </r>
  <r>
    <x v="101"/>
    <n v="45255"/>
    <s v="C15283"/>
    <x v="4"/>
    <x v="2"/>
    <x v="101"/>
    <x v="94"/>
    <x v="4"/>
    <s v="Shipped"/>
    <s v="TRK19286291"/>
    <n v="6"/>
    <s v="N/A"/>
    <s v="Google"/>
    <n v="381.02"/>
  </r>
  <r>
    <x v="102"/>
    <n v="44993"/>
    <s v="C18037"/>
    <x v="5"/>
    <x v="1"/>
    <x v="102"/>
    <x v="95"/>
    <x v="3"/>
    <s v="Cancelled"/>
    <s v="TRK47362236"/>
    <n v="3"/>
    <s v="FREESHIP"/>
    <s v="Email"/>
    <n v="140.68"/>
  </r>
  <r>
    <x v="103"/>
    <n v="45682"/>
    <s v="C62656"/>
    <x v="1"/>
    <x v="3"/>
    <x v="103"/>
    <x v="96"/>
    <x v="2"/>
    <s v="Cancelled"/>
    <s v="TRK86296459"/>
    <n v="9"/>
    <s v="SAVE10"/>
    <s v="Email"/>
    <n v="873.72"/>
  </r>
  <r>
    <x v="104"/>
    <n v="45503"/>
    <s v="C65744"/>
    <x v="1"/>
    <x v="2"/>
    <x v="104"/>
    <x v="97"/>
    <x v="3"/>
    <s v="Delivered"/>
    <s v="TRK39906058"/>
    <n v="1"/>
    <s v="FREESHIP"/>
    <s v="Email"/>
    <n v="582.04"/>
  </r>
  <r>
    <x v="105"/>
    <n v="45589"/>
    <s v="C72290"/>
    <x v="4"/>
    <x v="4"/>
    <x v="105"/>
    <x v="98"/>
    <x v="3"/>
    <s v="Cancelled"/>
    <s v="TRK68792129"/>
    <n v="7"/>
    <s v="N/A"/>
    <s v="Facebook"/>
    <n v="556.2"/>
  </r>
  <r>
    <x v="106"/>
    <n v="45177"/>
    <s v="C73514"/>
    <x v="6"/>
    <x v="4"/>
    <x v="106"/>
    <x v="99"/>
    <x v="2"/>
    <s v="Cancelled"/>
    <s v="TRK96777924"/>
    <n v="3"/>
    <s v="SAVE10"/>
    <s v="Email"/>
    <n v="1395.15"/>
  </r>
  <r>
    <x v="107"/>
    <n v="45012"/>
    <s v="C16775"/>
    <x v="4"/>
    <x v="0"/>
    <x v="107"/>
    <x v="100"/>
    <x v="3"/>
    <s v="Shipped"/>
    <s v="TRK34392124"/>
    <n v="8"/>
    <s v="FREESHIP"/>
    <s v="Instagram"/>
    <n v="3353.75"/>
  </r>
  <r>
    <x v="108"/>
    <n v="45654"/>
    <s v="C33099"/>
    <x v="5"/>
    <x v="0"/>
    <x v="108"/>
    <x v="101"/>
    <x v="3"/>
    <s v="Delivered"/>
    <s v="TRK28522330"/>
    <n v="9"/>
    <s v="WINTER15"/>
    <s v="Email"/>
    <n v="241.9"/>
  </r>
  <r>
    <x v="109"/>
    <n v="45186"/>
    <s v="C51157"/>
    <x v="6"/>
    <x v="4"/>
    <x v="109"/>
    <x v="102"/>
    <x v="3"/>
    <s v="Shipped"/>
    <s v="TRK18674578"/>
    <n v="3"/>
    <s v="FREESHIP"/>
    <s v="Referral"/>
    <n v="1778.61"/>
  </r>
  <r>
    <x v="110"/>
    <n v="45403"/>
    <s v="C74562"/>
    <x v="2"/>
    <x v="2"/>
    <x v="110"/>
    <x v="103"/>
    <x v="3"/>
    <s v="Pending"/>
    <s v="TRK32062079"/>
    <n v="5"/>
    <s v="FREESHIP"/>
    <s v="Instagram"/>
    <n v="220.77"/>
  </r>
  <r>
    <x v="111"/>
    <n v="45784"/>
    <s v="C95271"/>
    <x v="6"/>
    <x v="4"/>
    <x v="111"/>
    <x v="104"/>
    <x v="1"/>
    <s v="Cancelled"/>
    <s v="TRK74904969"/>
    <n v="7"/>
    <s v="FREESHIP"/>
    <s v="Google"/>
    <n v="927.66"/>
  </r>
  <r>
    <x v="112"/>
    <n v="44927"/>
    <s v="C81366"/>
    <x v="0"/>
    <x v="2"/>
    <x v="112"/>
    <x v="105"/>
    <x v="1"/>
    <s v="Cancelled"/>
    <s v="TRK17062206"/>
    <n v="2"/>
    <s v="WINTER15"/>
    <s v="Referral"/>
    <n v="410.6"/>
  </r>
  <r>
    <x v="113"/>
    <n v="45308"/>
    <s v="C65905"/>
    <x v="5"/>
    <x v="0"/>
    <x v="113"/>
    <x v="106"/>
    <x v="4"/>
    <s v="Shipped"/>
    <s v="TRK73954365"/>
    <n v="9"/>
    <s v="FREESHIP"/>
    <s v="Instagram"/>
    <n v="950.4"/>
  </r>
  <r>
    <x v="114"/>
    <n v="45684"/>
    <s v="C77272"/>
    <x v="0"/>
    <x v="0"/>
    <x v="114"/>
    <x v="107"/>
    <x v="1"/>
    <s v="Pending"/>
    <s v="TRK29708128"/>
    <n v="8"/>
    <s v="SAVE10"/>
    <s v="Google"/>
    <n v="2492.4"/>
  </r>
  <r>
    <x v="115"/>
    <n v="45257"/>
    <s v="C32580"/>
    <x v="1"/>
    <x v="0"/>
    <x v="115"/>
    <x v="108"/>
    <x v="1"/>
    <s v="Shipped"/>
    <s v="TRK23670394"/>
    <n v="9"/>
    <s v="SAVE10"/>
    <s v="Facebook"/>
    <n v="1874.95"/>
  </r>
  <r>
    <x v="116"/>
    <n v="45004"/>
    <s v="C47761"/>
    <x v="4"/>
    <x v="3"/>
    <x v="116"/>
    <x v="109"/>
    <x v="2"/>
    <s v="Cancelled"/>
    <s v="TRK66669207"/>
    <n v="6"/>
    <s v="WINTER15"/>
    <s v="Facebook"/>
    <n v="1165.4"/>
  </r>
  <r>
    <x v="117"/>
    <n v="44993"/>
    <s v="C49187"/>
    <x v="2"/>
    <x v="2"/>
    <x v="117"/>
    <x v="110"/>
    <x v="3"/>
    <s v="Cancelled"/>
    <s v="TRK81888598"/>
    <n v="5"/>
    <s v="WINTER15"/>
    <s v="Referral"/>
    <n v="535.5"/>
  </r>
  <r>
    <x v="118"/>
    <n v="45208"/>
    <s v="C27898"/>
    <x v="4"/>
    <x v="0"/>
    <x v="118"/>
    <x v="111"/>
    <x v="3"/>
    <s v="Shipped"/>
    <s v="TRK61957665"/>
    <n v="7"/>
    <s v="FREESHIP"/>
    <s v="Google"/>
    <n v="2513.55"/>
  </r>
  <r>
    <x v="119"/>
    <n v="45819"/>
    <s v="C14683"/>
    <x v="6"/>
    <x v="1"/>
    <x v="119"/>
    <x v="112"/>
    <x v="0"/>
    <s v="Shipped"/>
    <s v="TRK47373682"/>
    <n v="7"/>
    <s v="FREESHIP"/>
    <s v="Referral"/>
    <n v="1069.34"/>
  </r>
  <r>
    <x v="120"/>
    <n v="45027"/>
    <s v="C58108"/>
    <x v="2"/>
    <x v="3"/>
    <x v="120"/>
    <x v="6"/>
    <x v="4"/>
    <s v="Cancelled"/>
    <s v="TRK66218053"/>
    <n v="4"/>
    <s v="WINTER15"/>
    <s v="Instagram"/>
    <n v="2517.36"/>
  </r>
  <r>
    <x v="121"/>
    <n v="45260"/>
    <s v="C89822"/>
    <x v="6"/>
    <x v="2"/>
    <x v="121"/>
    <x v="113"/>
    <x v="4"/>
    <s v="Cancelled"/>
    <s v="TRK24138598"/>
    <n v="1"/>
    <s v="FREESHIP"/>
    <s v="Instagram"/>
    <n v="410.78"/>
  </r>
  <r>
    <x v="122"/>
    <n v="45397"/>
    <s v="C96787"/>
    <x v="5"/>
    <x v="1"/>
    <x v="122"/>
    <x v="114"/>
    <x v="3"/>
    <s v="Shipped"/>
    <s v="TRK30422853"/>
    <n v="2"/>
    <s v="N/A"/>
    <s v="Facebook"/>
    <n v="1066.04"/>
  </r>
  <r>
    <x v="123"/>
    <n v="45113"/>
    <s v="C86064"/>
    <x v="6"/>
    <x v="4"/>
    <x v="123"/>
    <x v="115"/>
    <x v="1"/>
    <s v="Delivered"/>
    <s v="TRK62182901"/>
    <n v="5"/>
    <s v="N/A"/>
    <s v="Instagram"/>
    <n v="834.12"/>
  </r>
  <r>
    <x v="124"/>
    <n v="45501"/>
    <s v="C97148"/>
    <x v="4"/>
    <x v="3"/>
    <x v="124"/>
    <x v="116"/>
    <x v="1"/>
    <s v="Pending"/>
    <s v="TRK85321126"/>
    <n v="8"/>
    <s v="N/A"/>
    <s v="Google"/>
    <n v="1135.16"/>
  </r>
  <r>
    <x v="125"/>
    <n v="45602"/>
    <s v="C91099"/>
    <x v="1"/>
    <x v="1"/>
    <x v="125"/>
    <x v="117"/>
    <x v="2"/>
    <s v="Shipped"/>
    <s v="TRK81846174"/>
    <n v="5"/>
    <s v="SAVE10"/>
    <s v="Email"/>
    <n v="1025.3"/>
  </r>
  <r>
    <x v="126"/>
    <n v="45780"/>
    <s v="C55606"/>
    <x v="6"/>
    <x v="3"/>
    <x v="126"/>
    <x v="118"/>
    <x v="3"/>
    <s v="Shipped"/>
    <s v="TRK68250319"/>
    <n v="8"/>
    <s v="FREESHIP"/>
    <s v="Google"/>
    <n v="1102"/>
  </r>
  <r>
    <x v="127"/>
    <n v="45148"/>
    <s v="C71486"/>
    <x v="6"/>
    <x v="4"/>
    <x v="127"/>
    <x v="119"/>
    <x v="0"/>
    <s v="Shipped"/>
    <s v="TRK73929833"/>
    <n v="3"/>
    <s v="N/A"/>
    <s v="Google"/>
    <n v="1407.96"/>
  </r>
  <r>
    <x v="128"/>
    <n v="44974"/>
    <s v="C86408"/>
    <x v="2"/>
    <x v="3"/>
    <x v="128"/>
    <x v="120"/>
    <x v="3"/>
    <s v="Delivered"/>
    <s v="TRK41432648"/>
    <n v="4"/>
    <s v="FREESHIP"/>
    <s v="Google"/>
    <n v="84.28"/>
  </r>
  <r>
    <x v="129"/>
    <n v="45226"/>
    <s v="C52751"/>
    <x v="5"/>
    <x v="3"/>
    <x v="129"/>
    <x v="121"/>
    <x v="0"/>
    <s v="Shipped"/>
    <s v="TRK72481234"/>
    <n v="4"/>
    <s v="FREESHIP"/>
    <s v="Facebook"/>
    <n v="1055.72"/>
  </r>
  <r>
    <x v="130"/>
    <n v="45679"/>
    <s v="C29059"/>
    <x v="6"/>
    <x v="4"/>
    <x v="130"/>
    <x v="122"/>
    <x v="1"/>
    <s v="Cancelled"/>
    <s v="TRK88360704"/>
    <n v="3"/>
    <s v="WINTER15"/>
    <s v="Facebook"/>
    <n v="1503.9"/>
  </r>
  <r>
    <x v="131"/>
    <n v="44934"/>
    <s v="C72862"/>
    <x v="2"/>
    <x v="2"/>
    <x v="131"/>
    <x v="123"/>
    <x v="3"/>
    <s v="Pending"/>
    <s v="TRK51648833"/>
    <n v="5"/>
    <s v="N/A"/>
    <s v="Instagram"/>
    <n v="84.8"/>
  </r>
  <r>
    <x v="132"/>
    <n v="45013"/>
    <s v="C96257"/>
    <x v="2"/>
    <x v="3"/>
    <x v="132"/>
    <x v="124"/>
    <x v="2"/>
    <s v="Shipped"/>
    <s v="TRK13137948"/>
    <n v="6"/>
    <s v="WINTER15"/>
    <s v="Email"/>
    <n v="1803"/>
  </r>
  <r>
    <x v="133"/>
    <n v="45828"/>
    <s v="C87432"/>
    <x v="3"/>
    <x v="3"/>
    <x v="133"/>
    <x v="125"/>
    <x v="0"/>
    <s v="Cancelled"/>
    <s v="TRK68969625"/>
    <n v="6"/>
    <s v="SAVE10"/>
    <s v="Google"/>
    <n v="1208.2"/>
  </r>
  <r>
    <x v="134"/>
    <n v="45831"/>
    <s v="C16253"/>
    <x v="5"/>
    <x v="1"/>
    <x v="134"/>
    <x v="124"/>
    <x v="4"/>
    <s v="Pending"/>
    <s v="TRK17354894"/>
    <n v="4"/>
    <s v="N/A"/>
    <s v="Email"/>
    <n v="399.4"/>
  </r>
  <r>
    <x v="135"/>
    <n v="45142"/>
    <s v="C79909"/>
    <x v="4"/>
    <x v="1"/>
    <x v="135"/>
    <x v="126"/>
    <x v="3"/>
    <s v="Shipped"/>
    <s v="TRK86742257"/>
    <n v="5"/>
    <s v="SAVE10"/>
    <s v="Referral"/>
    <n v="137.62"/>
  </r>
  <r>
    <x v="136"/>
    <n v="45409"/>
    <s v="C73370"/>
    <x v="5"/>
    <x v="2"/>
    <x v="136"/>
    <x v="127"/>
    <x v="3"/>
    <s v="Cancelled"/>
    <s v="TRK67820278"/>
    <n v="1"/>
    <s v="SAVE10"/>
    <s v="Instagram"/>
    <n v="44.35"/>
  </r>
  <r>
    <x v="137"/>
    <n v="45622"/>
    <s v="C50682"/>
    <x v="0"/>
    <x v="1"/>
    <x v="137"/>
    <x v="128"/>
    <x v="2"/>
    <s v="Delivered"/>
    <s v="TRK12242337"/>
    <n v="5"/>
    <s v="N/A"/>
    <s v="Google"/>
    <n v="501.96"/>
  </r>
  <r>
    <x v="138"/>
    <n v="45281"/>
    <s v="C21905"/>
    <x v="2"/>
    <x v="2"/>
    <x v="138"/>
    <x v="129"/>
    <x v="0"/>
    <s v="Pending"/>
    <s v="TRK31863841"/>
    <n v="3"/>
    <s v="WINTER15"/>
    <s v="Google"/>
    <n v="298.06"/>
  </r>
  <r>
    <x v="139"/>
    <n v="45026"/>
    <s v="C61440"/>
    <x v="1"/>
    <x v="2"/>
    <x v="139"/>
    <x v="130"/>
    <x v="4"/>
    <s v="Returned"/>
    <s v="TRK33114521"/>
    <n v="1"/>
    <s v="N/A"/>
    <s v="Email"/>
    <n v="583.9"/>
  </r>
  <r>
    <x v="140"/>
    <n v="45808"/>
    <s v="C33110"/>
    <x v="3"/>
    <x v="4"/>
    <x v="140"/>
    <x v="103"/>
    <x v="1"/>
    <s v="Delivered"/>
    <s v="TRK38624225"/>
    <n v="3"/>
    <s v="FREESHIP"/>
    <s v="Email"/>
    <n v="1584.42"/>
  </r>
  <r>
    <x v="141"/>
    <n v="45248"/>
    <s v="C80004"/>
    <x v="4"/>
    <x v="4"/>
    <x v="141"/>
    <x v="131"/>
    <x v="4"/>
    <s v="Cancelled"/>
    <s v="TRK66230753"/>
    <n v="3"/>
    <s v="WINTER15"/>
    <s v="Instagram"/>
    <n v="2052.42"/>
  </r>
  <r>
    <x v="142"/>
    <n v="45175"/>
    <s v="C86374"/>
    <x v="6"/>
    <x v="0"/>
    <x v="142"/>
    <x v="132"/>
    <x v="4"/>
    <s v="Pending"/>
    <s v="TRK79451491"/>
    <n v="7"/>
    <s v="WINTER15"/>
    <s v="Email"/>
    <n v="1363.85"/>
  </r>
  <r>
    <x v="143"/>
    <n v="45456"/>
    <s v="C66521"/>
    <x v="3"/>
    <x v="3"/>
    <x v="143"/>
    <x v="133"/>
    <x v="1"/>
    <s v="Shipped"/>
    <s v="TRK34654244"/>
    <n v="5"/>
    <s v="N/A"/>
    <s v="Referral"/>
    <n v="1600.28"/>
  </r>
  <r>
    <x v="144"/>
    <n v="45142"/>
    <s v="C63365"/>
    <x v="6"/>
    <x v="0"/>
    <x v="144"/>
    <x v="30"/>
    <x v="2"/>
    <s v="Pending"/>
    <s v="TRK80100887"/>
    <n v="8"/>
    <s v="N/A"/>
    <s v="Facebook"/>
    <n v="1098.9"/>
  </r>
  <r>
    <x v="145"/>
    <n v="45353"/>
    <s v="C85929"/>
    <x v="4"/>
    <x v="4"/>
    <x v="145"/>
    <x v="134"/>
    <x v="2"/>
    <s v="Delivered"/>
    <s v="TRK29318610"/>
    <n v="6"/>
    <s v="FREESHIP"/>
    <s v="Google"/>
    <n v="440.73"/>
  </r>
  <r>
    <x v="146"/>
    <n v="45777"/>
    <s v="C84645"/>
    <x v="2"/>
    <x v="1"/>
    <x v="146"/>
    <x v="135"/>
    <x v="2"/>
    <s v="Returned"/>
    <s v="TRK68893369"/>
    <n v="4"/>
    <s v="N/A"/>
    <s v="Instagram"/>
    <n v="822.98"/>
  </r>
  <r>
    <x v="147"/>
    <n v="45783"/>
    <s v="C46316"/>
    <x v="5"/>
    <x v="1"/>
    <x v="147"/>
    <x v="136"/>
    <x v="2"/>
    <s v="Cancelled"/>
    <s v="TRK16196000"/>
    <n v="2"/>
    <s v="SAVE10"/>
    <s v="Google"/>
    <n v="930.36"/>
  </r>
  <r>
    <x v="148"/>
    <n v="45641"/>
    <s v="C35100"/>
    <x v="1"/>
    <x v="1"/>
    <x v="148"/>
    <x v="137"/>
    <x v="2"/>
    <s v="Cancelled"/>
    <s v="TRK56853491"/>
    <n v="3"/>
    <s v="WINTER15"/>
    <s v="Google"/>
    <n v="639.82"/>
  </r>
  <r>
    <x v="149"/>
    <n v="45287"/>
    <s v="C39671"/>
    <x v="5"/>
    <x v="2"/>
    <x v="149"/>
    <x v="138"/>
    <x v="0"/>
    <s v="Delivered"/>
    <s v="TRK47153818"/>
    <n v="3"/>
    <s v="N/A"/>
    <s v="Facebook"/>
    <n v="217.56"/>
  </r>
  <r>
    <x v="150"/>
    <n v="45273"/>
    <s v="C25503"/>
    <x v="1"/>
    <x v="1"/>
    <x v="150"/>
    <x v="139"/>
    <x v="0"/>
    <s v="Returned"/>
    <s v="TRK29878837"/>
    <n v="5"/>
    <s v="WINTER15"/>
    <s v="Google"/>
    <n v="211.14"/>
  </r>
  <r>
    <x v="151"/>
    <n v="45261"/>
    <s v="C32960"/>
    <x v="4"/>
    <x v="0"/>
    <x v="151"/>
    <x v="140"/>
    <x v="0"/>
    <s v="Returned"/>
    <s v="TRK91226500"/>
    <n v="7"/>
    <s v="N/A"/>
    <s v="Email"/>
    <n v="2223.8"/>
  </r>
  <r>
    <x v="152"/>
    <n v="45659"/>
    <s v="C77736"/>
    <x v="3"/>
    <x v="1"/>
    <x v="152"/>
    <x v="141"/>
    <x v="4"/>
    <s v="Cancelled"/>
    <s v="TRK90329250"/>
    <n v="3"/>
    <s v="FREESHIP"/>
    <s v="Referral"/>
    <n v="798.08"/>
  </r>
  <r>
    <x v="153"/>
    <n v="45644"/>
    <s v="C71570"/>
    <x v="3"/>
    <x v="3"/>
    <x v="153"/>
    <x v="142"/>
    <x v="1"/>
    <s v="Returned"/>
    <s v="TRK95992269"/>
    <n v="9"/>
    <s v="WINTER15"/>
    <s v="Instagram"/>
    <n v="2137.92"/>
  </r>
  <r>
    <x v="154"/>
    <n v="45127"/>
    <s v="C73587"/>
    <x v="1"/>
    <x v="3"/>
    <x v="154"/>
    <x v="115"/>
    <x v="2"/>
    <s v="Pending"/>
    <s v="TRK13955543"/>
    <n v="9"/>
    <s v="N/A"/>
    <s v="Instagram"/>
    <n v="1632.84"/>
  </r>
  <r>
    <x v="155"/>
    <n v="44984"/>
    <s v="C62740"/>
    <x v="1"/>
    <x v="2"/>
    <x v="155"/>
    <x v="47"/>
    <x v="1"/>
    <s v="Shipped"/>
    <s v="TRK20706408"/>
    <n v="6"/>
    <s v="WINTER15"/>
    <s v="Referral"/>
    <n v="424.4"/>
  </r>
  <r>
    <x v="156"/>
    <n v="45604"/>
    <s v="C58808"/>
    <x v="3"/>
    <x v="1"/>
    <x v="156"/>
    <x v="143"/>
    <x v="1"/>
    <s v="Delivered"/>
    <s v="TRK24451893"/>
    <n v="4"/>
    <s v="SAVE10"/>
    <s v="Email"/>
    <n v="539.66"/>
  </r>
  <r>
    <x v="157"/>
    <n v="45709"/>
    <s v="C50422"/>
    <x v="0"/>
    <x v="1"/>
    <x v="157"/>
    <x v="125"/>
    <x v="1"/>
    <s v="Returned"/>
    <s v="TRK71227815"/>
    <n v="4"/>
    <s v="WINTER15"/>
    <s v="Facebook"/>
    <n v="1129.16"/>
  </r>
  <r>
    <x v="158"/>
    <n v="45428"/>
    <s v="C23334"/>
    <x v="2"/>
    <x v="2"/>
    <x v="158"/>
    <x v="144"/>
    <x v="2"/>
    <s v="Pending"/>
    <s v="TRK46335144"/>
    <n v="5"/>
    <s v="WINTER15"/>
    <s v="Instagram"/>
    <n v="331.06"/>
  </r>
  <r>
    <x v="159"/>
    <n v="45230"/>
    <s v="C48965"/>
    <x v="4"/>
    <x v="2"/>
    <x v="159"/>
    <x v="145"/>
    <x v="2"/>
    <s v="Cancelled"/>
    <s v="TRK50921780"/>
    <n v="5"/>
    <s v="WINTER15"/>
    <s v="Email"/>
    <n v="299.35"/>
  </r>
  <r>
    <x v="160"/>
    <n v="44974"/>
    <s v="C38669"/>
    <x v="0"/>
    <x v="3"/>
    <x v="160"/>
    <x v="146"/>
    <x v="4"/>
    <s v="Pending"/>
    <s v="TRK81738254"/>
    <n v="7"/>
    <s v="N/A"/>
    <s v="Referral"/>
    <n v="405.28"/>
  </r>
  <r>
    <x v="161"/>
    <n v="45380"/>
    <s v="C35091"/>
    <x v="0"/>
    <x v="2"/>
    <x v="161"/>
    <x v="122"/>
    <x v="2"/>
    <s v="Cancelled"/>
    <s v="TRK53784452"/>
    <n v="1"/>
    <s v="SAVE10"/>
    <s v="Facebook"/>
    <n v="211.14"/>
  </r>
  <r>
    <x v="162"/>
    <n v="45134"/>
    <s v="C82313"/>
    <x v="3"/>
    <x v="4"/>
    <x v="162"/>
    <x v="69"/>
    <x v="1"/>
    <s v="Pending"/>
    <s v="TRK79854624"/>
    <n v="8"/>
    <s v="WINTER15"/>
    <s v="Google"/>
    <n v="197.58"/>
  </r>
  <r>
    <x v="163"/>
    <n v="45832"/>
    <s v="C99589"/>
    <x v="2"/>
    <x v="2"/>
    <x v="163"/>
    <x v="147"/>
    <x v="1"/>
    <s v="Cancelled"/>
    <s v="TRK16695001"/>
    <n v="1"/>
    <s v="N/A"/>
    <s v="Referral"/>
    <n v="641.39"/>
  </r>
  <r>
    <x v="164"/>
    <n v="45288"/>
    <s v="C70566"/>
    <x v="6"/>
    <x v="0"/>
    <x v="164"/>
    <x v="148"/>
    <x v="3"/>
    <s v="Pending"/>
    <s v="TRK49673411"/>
    <n v="5"/>
    <s v="SAVE10"/>
    <s v="Google"/>
    <n v="2682.9"/>
  </r>
  <r>
    <x v="165"/>
    <n v="45549"/>
    <s v="C60355"/>
    <x v="0"/>
    <x v="1"/>
    <x v="165"/>
    <x v="149"/>
    <x v="1"/>
    <s v="Returned"/>
    <s v="TRK30155194"/>
    <n v="7"/>
    <s v="WINTER15"/>
    <s v="Google"/>
    <n v="1000.58"/>
  </r>
  <r>
    <x v="166"/>
    <n v="45720"/>
    <s v="C28889"/>
    <x v="3"/>
    <x v="4"/>
    <x v="166"/>
    <x v="51"/>
    <x v="4"/>
    <s v="Delivered"/>
    <s v="TRK23791726"/>
    <n v="6"/>
    <s v="WINTER15"/>
    <s v="Instagram"/>
    <n v="258.87"/>
  </r>
  <r>
    <x v="167"/>
    <n v="45073"/>
    <s v="C88304"/>
    <x v="3"/>
    <x v="1"/>
    <x v="167"/>
    <x v="150"/>
    <x v="1"/>
    <s v="Returned"/>
    <s v="TRK44268941"/>
    <n v="2"/>
    <s v="WINTER15"/>
    <s v="Email"/>
    <n v="768.28"/>
  </r>
  <r>
    <x v="168"/>
    <n v="45661"/>
    <s v="C49517"/>
    <x v="4"/>
    <x v="2"/>
    <x v="168"/>
    <x v="151"/>
    <x v="4"/>
    <s v="Returned"/>
    <s v="TRK78551375"/>
    <n v="6"/>
    <s v="N/A"/>
    <s v="Facebook"/>
    <n v="594.96"/>
  </r>
  <r>
    <x v="169"/>
    <n v="45389"/>
    <s v="C35785"/>
    <x v="4"/>
    <x v="2"/>
    <x v="169"/>
    <x v="152"/>
    <x v="1"/>
    <s v="Delivered"/>
    <s v="TRK78923089"/>
    <n v="2"/>
    <s v="WINTER15"/>
    <s v="Email"/>
    <n v="427.82"/>
  </r>
  <r>
    <x v="170"/>
    <n v="45751"/>
    <s v="C80223"/>
    <x v="6"/>
    <x v="3"/>
    <x v="170"/>
    <x v="153"/>
    <x v="4"/>
    <s v="Cancelled"/>
    <s v="TRK68632951"/>
    <n v="8"/>
    <s v="SAVE10"/>
    <s v="Instagram"/>
    <n v="2651.76"/>
  </r>
  <r>
    <x v="171"/>
    <n v="45153"/>
    <s v="C20448"/>
    <x v="2"/>
    <x v="1"/>
    <x v="171"/>
    <x v="154"/>
    <x v="2"/>
    <s v="Delivered"/>
    <s v="TRK67379895"/>
    <n v="7"/>
    <s v="WINTER15"/>
    <s v="Instagram"/>
    <n v="296.44"/>
  </r>
  <r>
    <x v="172"/>
    <n v="45753"/>
    <s v="C34134"/>
    <x v="4"/>
    <x v="2"/>
    <x v="172"/>
    <x v="119"/>
    <x v="1"/>
    <s v="Delivered"/>
    <s v="TRK43074303"/>
    <n v="1"/>
    <s v="WINTER15"/>
    <s v="Email"/>
    <n v="254.12"/>
  </r>
  <r>
    <x v="173"/>
    <n v="45375"/>
    <s v="C95901"/>
    <x v="1"/>
    <x v="4"/>
    <x v="173"/>
    <x v="155"/>
    <x v="1"/>
    <s v="Delivered"/>
    <s v="TRK56989066"/>
    <n v="4"/>
    <s v="FREESHIP"/>
    <s v="Google"/>
    <n v="1993.38"/>
  </r>
  <r>
    <x v="174"/>
    <n v="45398"/>
    <s v="C51145"/>
    <x v="4"/>
    <x v="3"/>
    <x v="174"/>
    <x v="156"/>
    <x v="0"/>
    <s v="Delivered"/>
    <s v="TRK59154274"/>
    <n v="9"/>
    <s v="SAVE10"/>
    <s v="Email"/>
    <n v="2403.24"/>
  </r>
  <r>
    <x v="175"/>
    <n v="45696"/>
    <s v="C78170"/>
    <x v="3"/>
    <x v="0"/>
    <x v="175"/>
    <x v="157"/>
    <x v="0"/>
    <s v="Pending"/>
    <s v="TRK71410605"/>
    <n v="6"/>
    <s v="WINTER15"/>
    <s v="Referral"/>
    <n v="341.7"/>
  </r>
  <r>
    <x v="176"/>
    <n v="45836"/>
    <s v="C80151"/>
    <x v="2"/>
    <x v="3"/>
    <x v="176"/>
    <x v="158"/>
    <x v="3"/>
    <s v="Pending"/>
    <s v="TRK88251529"/>
    <n v="8"/>
    <s v="WINTER15"/>
    <s v="Referral"/>
    <n v="1723.32"/>
  </r>
  <r>
    <x v="177"/>
    <n v="45143"/>
    <s v="C55632"/>
    <x v="3"/>
    <x v="0"/>
    <x v="177"/>
    <x v="159"/>
    <x v="2"/>
    <s v="Pending"/>
    <s v="TRK13003066"/>
    <n v="10"/>
    <s v="N/A"/>
    <s v="Facebook"/>
    <n v="2158.45"/>
  </r>
  <r>
    <x v="178"/>
    <n v="45393"/>
    <s v="C53070"/>
    <x v="3"/>
    <x v="3"/>
    <x v="178"/>
    <x v="160"/>
    <x v="1"/>
    <s v="Delivered"/>
    <s v="TRK49791755"/>
    <n v="5"/>
    <s v="SAVE10"/>
    <s v="Google"/>
    <n v="2048.24"/>
  </r>
  <r>
    <x v="179"/>
    <n v="45620"/>
    <s v="C27401"/>
    <x v="5"/>
    <x v="4"/>
    <x v="179"/>
    <x v="161"/>
    <x v="2"/>
    <s v="Delivered"/>
    <s v="TRK14332053"/>
    <n v="8"/>
    <s v="N/A"/>
    <s v="Email"/>
    <n v="1619.73"/>
  </r>
  <r>
    <x v="180"/>
    <n v="45003"/>
    <s v="C87216"/>
    <x v="2"/>
    <x v="0"/>
    <x v="180"/>
    <x v="162"/>
    <x v="4"/>
    <s v="Returned"/>
    <s v="TRK18713727"/>
    <n v="10"/>
    <s v="N/A"/>
    <s v="Google"/>
    <n v="1580.35"/>
  </r>
  <r>
    <x v="181"/>
    <n v="45535"/>
    <s v="C38966"/>
    <x v="4"/>
    <x v="0"/>
    <x v="181"/>
    <x v="163"/>
    <x v="1"/>
    <s v="Shipped"/>
    <s v="TRK17205146"/>
    <n v="10"/>
    <s v="N/A"/>
    <s v="Referral"/>
    <n v="2021.95"/>
  </r>
  <r>
    <x v="182"/>
    <n v="45735"/>
    <s v="C16612"/>
    <x v="6"/>
    <x v="2"/>
    <x v="182"/>
    <x v="164"/>
    <x v="0"/>
    <s v="Pending"/>
    <s v="TRK96188223"/>
    <n v="4"/>
    <s v="WINTER15"/>
    <s v="Google"/>
    <n v="600.54"/>
  </r>
  <r>
    <x v="183"/>
    <n v="45400"/>
    <s v="C39246"/>
    <x v="0"/>
    <x v="0"/>
    <x v="183"/>
    <x v="165"/>
    <x v="0"/>
    <s v="Delivered"/>
    <s v="TRK16658182"/>
    <n v="8"/>
    <s v="SAVE10"/>
    <s v="Email"/>
    <n v="931.4"/>
  </r>
  <r>
    <x v="184"/>
    <n v="45386"/>
    <s v="C65180"/>
    <x v="2"/>
    <x v="3"/>
    <x v="184"/>
    <x v="166"/>
    <x v="3"/>
    <s v="Cancelled"/>
    <s v="TRK39255469"/>
    <n v="7"/>
    <s v="N/A"/>
    <s v="Referral"/>
    <n v="858.16"/>
  </r>
  <r>
    <x v="185"/>
    <n v="45690"/>
    <s v="C46877"/>
    <x v="5"/>
    <x v="2"/>
    <x v="185"/>
    <x v="167"/>
    <x v="1"/>
    <s v="Shipped"/>
    <s v="TRK96935978"/>
    <n v="2"/>
    <s v="WINTER15"/>
    <s v="Referral"/>
    <n v="210.7"/>
  </r>
  <r>
    <x v="186"/>
    <n v="45267"/>
    <s v="C30334"/>
    <x v="1"/>
    <x v="1"/>
    <x v="186"/>
    <x v="168"/>
    <x v="4"/>
    <s v="Pending"/>
    <s v="TRK66388885"/>
    <n v="7"/>
    <s v="FREESHIP"/>
    <s v="Facebook"/>
    <n v="267.1"/>
  </r>
  <r>
    <x v="187"/>
    <n v="44965"/>
    <s v="C21227"/>
    <x v="3"/>
    <x v="2"/>
    <x v="187"/>
    <x v="169"/>
    <x v="3"/>
    <s v="Returned"/>
    <s v="TRK79129657"/>
    <n v="6"/>
    <s v="FREESHIP"/>
    <s v="Referral"/>
    <n v="590.87"/>
  </r>
  <r>
    <x v="188"/>
    <n v="45731"/>
    <s v="C97715"/>
    <x v="3"/>
    <x v="1"/>
    <x v="188"/>
    <x v="170"/>
    <x v="3"/>
    <s v="Shipped"/>
    <s v="TRK19515949"/>
    <n v="2"/>
    <s v="FREESHIP"/>
    <s v="Referral"/>
    <n v="727.82"/>
  </r>
  <r>
    <x v="189"/>
    <n v="45112"/>
    <s v="C48939"/>
    <x v="4"/>
    <x v="0"/>
    <x v="189"/>
    <x v="171"/>
    <x v="3"/>
    <s v="Cancelled"/>
    <s v="TRK62786764"/>
    <n v="5"/>
    <s v="WINTER15"/>
    <s v="Email"/>
    <n v="2147.25"/>
  </r>
  <r>
    <x v="190"/>
    <n v="45535"/>
    <s v="C35483"/>
    <x v="4"/>
    <x v="4"/>
    <x v="190"/>
    <x v="172"/>
    <x v="4"/>
    <s v="Returned"/>
    <s v="TRK79638203"/>
    <n v="3"/>
    <s v="SAVE10"/>
    <s v="Email"/>
    <n v="671.1"/>
  </r>
  <r>
    <x v="191"/>
    <n v="45724"/>
    <s v="C51494"/>
    <x v="5"/>
    <x v="1"/>
    <x v="191"/>
    <x v="173"/>
    <x v="1"/>
    <s v="Cancelled"/>
    <s v="TRK58520306"/>
    <n v="4"/>
    <s v="FREESHIP"/>
    <s v="Google"/>
    <n v="977.74"/>
  </r>
  <r>
    <x v="192"/>
    <n v="45149"/>
    <s v="C58410"/>
    <x v="6"/>
    <x v="2"/>
    <x v="192"/>
    <x v="131"/>
    <x v="3"/>
    <s v="Cancelled"/>
    <s v="TRK19749672"/>
    <n v="5"/>
    <s v="SAVE10"/>
    <s v="Google"/>
    <n v="645.46"/>
  </r>
  <r>
    <x v="193"/>
    <n v="45128"/>
    <s v="C11644"/>
    <x v="4"/>
    <x v="2"/>
    <x v="193"/>
    <x v="174"/>
    <x v="4"/>
    <s v="Cancelled"/>
    <s v="TRK81320339"/>
    <n v="6"/>
    <s v="N/A"/>
    <s v="Google"/>
    <n v="46.66"/>
  </r>
  <r>
    <x v="194"/>
    <n v="45451"/>
    <s v="C53501"/>
    <x v="0"/>
    <x v="2"/>
    <x v="194"/>
    <x v="175"/>
    <x v="4"/>
    <s v="Shipped"/>
    <s v="TRK90144892"/>
    <n v="3"/>
    <s v="FREESHIP"/>
    <s v="Google"/>
    <n v="249.57"/>
  </r>
  <r>
    <x v="195"/>
    <n v="45404"/>
    <s v="C63619"/>
    <x v="3"/>
    <x v="4"/>
    <x v="195"/>
    <x v="176"/>
    <x v="0"/>
    <s v="Cancelled"/>
    <s v="TRK65385674"/>
    <n v="6"/>
    <s v="N/A"/>
    <s v="Email"/>
    <n v="1857.63"/>
  </r>
  <r>
    <x v="196"/>
    <n v="45681"/>
    <s v="C40882"/>
    <x v="6"/>
    <x v="3"/>
    <x v="196"/>
    <x v="177"/>
    <x v="4"/>
    <s v="Delivered"/>
    <s v="TRK64165503"/>
    <n v="8"/>
    <s v="WINTER15"/>
    <s v="Email"/>
    <n v="868.52"/>
  </r>
  <r>
    <x v="197"/>
    <n v="45165"/>
    <s v="C80135"/>
    <x v="5"/>
    <x v="0"/>
    <x v="197"/>
    <x v="178"/>
    <x v="4"/>
    <s v="Returned"/>
    <s v="TRK95222269"/>
    <n v="5"/>
    <s v="WINTER15"/>
    <s v="Referral"/>
    <n v="1107.55"/>
  </r>
  <r>
    <x v="198"/>
    <n v="45454"/>
    <s v="C37594"/>
    <x v="5"/>
    <x v="3"/>
    <x v="198"/>
    <x v="34"/>
    <x v="4"/>
    <s v="Cancelled"/>
    <s v="TRK94405162"/>
    <n v="8"/>
    <s v="SAVE10"/>
    <s v="Referral"/>
    <n v="1361.2"/>
  </r>
  <r>
    <x v="199"/>
    <n v="45680"/>
    <s v="C87524"/>
    <x v="1"/>
    <x v="2"/>
    <x v="199"/>
    <x v="179"/>
    <x v="1"/>
    <s v="Returned"/>
    <s v="TRK21114341"/>
    <n v="5"/>
    <s v="WINTER15"/>
    <s v="Google"/>
    <n v="625"/>
  </r>
  <r>
    <x v="200"/>
    <n v="45815"/>
    <s v="C97681"/>
    <x v="2"/>
    <x v="0"/>
    <x v="200"/>
    <x v="30"/>
    <x v="2"/>
    <s v="Delivered"/>
    <s v="TRK37531040"/>
    <n v="9"/>
    <s v="SAVE10"/>
    <s v="Google"/>
    <n v="2166.3"/>
  </r>
  <r>
    <x v="201"/>
    <n v="45095"/>
    <s v="C10126"/>
    <x v="0"/>
    <x v="1"/>
    <x v="201"/>
    <x v="72"/>
    <x v="1"/>
    <s v="Shipped"/>
    <s v="TRK75607531"/>
    <n v="4"/>
    <s v="SAVE10"/>
    <s v="Facebook"/>
    <n v="1349.8"/>
  </r>
  <r>
    <x v="202"/>
    <n v="45694"/>
    <s v="C36938"/>
    <x v="0"/>
    <x v="4"/>
    <x v="202"/>
    <x v="125"/>
    <x v="2"/>
    <s v="Cancelled"/>
    <s v="TRK52522904"/>
    <n v="3"/>
    <s v="FREESHIP"/>
    <s v="Email"/>
    <n v="761.94"/>
  </r>
  <r>
    <x v="203"/>
    <n v="45678"/>
    <s v="C99173"/>
    <x v="4"/>
    <x v="4"/>
    <x v="203"/>
    <x v="180"/>
    <x v="1"/>
    <s v="Shipped"/>
    <s v="TRK89849342"/>
    <n v="5"/>
    <s v="SAVE10"/>
    <s v="Instagram"/>
    <n v="1070.52"/>
  </r>
  <r>
    <x v="204"/>
    <n v="45174"/>
    <s v="C99775"/>
    <x v="5"/>
    <x v="3"/>
    <x v="204"/>
    <x v="129"/>
    <x v="3"/>
    <s v="Cancelled"/>
    <s v="TRK21638425"/>
    <n v="9"/>
    <s v="FREESHIP"/>
    <s v="Facebook"/>
    <n v="1654.84"/>
  </r>
  <r>
    <x v="205"/>
    <n v="44989"/>
    <s v="C19266"/>
    <x v="6"/>
    <x v="4"/>
    <x v="205"/>
    <x v="181"/>
    <x v="0"/>
    <s v="Returned"/>
    <s v="TRK58357269"/>
    <n v="3"/>
    <s v="N/A"/>
    <s v="Email"/>
    <n v="442.17"/>
  </r>
  <r>
    <x v="206"/>
    <n v="45398"/>
    <s v="C31072"/>
    <x v="5"/>
    <x v="3"/>
    <x v="206"/>
    <x v="182"/>
    <x v="3"/>
    <s v="Returned"/>
    <s v="TRK77172975"/>
    <n v="8"/>
    <s v="WINTER15"/>
    <s v="Email"/>
    <n v="916.4"/>
  </r>
  <r>
    <x v="207"/>
    <n v="45734"/>
    <s v="C54595"/>
    <x v="1"/>
    <x v="2"/>
    <x v="207"/>
    <x v="183"/>
    <x v="0"/>
    <s v="Delivered"/>
    <s v="TRK44416659"/>
    <n v="3"/>
    <s v="N/A"/>
    <s v="Google"/>
    <n v="121.96"/>
  </r>
  <r>
    <x v="208"/>
    <n v="45573"/>
    <s v="C87777"/>
    <x v="6"/>
    <x v="1"/>
    <x v="208"/>
    <x v="171"/>
    <x v="1"/>
    <s v="Shipped"/>
    <s v="TRK29003608"/>
    <n v="3"/>
    <s v="FREESHIP"/>
    <s v="Facebook"/>
    <n v="816.64"/>
  </r>
  <r>
    <x v="209"/>
    <n v="45167"/>
    <s v="C35854"/>
    <x v="2"/>
    <x v="0"/>
    <x v="209"/>
    <x v="7"/>
    <x v="4"/>
    <s v="Returned"/>
    <s v="TRK30615168"/>
    <n v="9"/>
    <s v="SAVE10"/>
    <s v="Google"/>
    <n v="939.85"/>
  </r>
  <r>
    <x v="210"/>
    <n v="45631"/>
    <s v="C93821"/>
    <x v="3"/>
    <x v="4"/>
    <x v="210"/>
    <x v="122"/>
    <x v="3"/>
    <s v="Delivered"/>
    <s v="TRK10658539"/>
    <n v="7"/>
    <s v="FREESHIP"/>
    <s v="Facebook"/>
    <n v="1075.44"/>
  </r>
  <r>
    <x v="211"/>
    <n v="45660"/>
    <s v="C54390"/>
    <x v="4"/>
    <x v="4"/>
    <x v="211"/>
    <x v="184"/>
    <x v="3"/>
    <s v="Pending"/>
    <s v="TRK83853742"/>
    <n v="7"/>
    <s v="FREESHIP"/>
    <s v="Email"/>
    <n v="580.74"/>
  </r>
  <r>
    <x v="212"/>
    <n v="45097"/>
    <s v="C53215"/>
    <x v="0"/>
    <x v="2"/>
    <x v="212"/>
    <x v="185"/>
    <x v="2"/>
    <s v="Cancelled"/>
    <s v="TRK34751835"/>
    <n v="6"/>
    <s v="WINTER15"/>
    <s v="Email"/>
    <n v="265.38"/>
  </r>
  <r>
    <x v="213"/>
    <n v="45036"/>
    <s v="C71122"/>
    <x v="5"/>
    <x v="2"/>
    <x v="213"/>
    <x v="186"/>
    <x v="4"/>
    <s v="Cancelled"/>
    <s v="TRK54757882"/>
    <n v="6"/>
    <s v="SAVE10"/>
    <s v="Email"/>
    <n v="634.4"/>
  </r>
  <r>
    <x v="214"/>
    <n v="45525"/>
    <s v="C29483"/>
    <x v="6"/>
    <x v="3"/>
    <x v="214"/>
    <x v="113"/>
    <x v="1"/>
    <s v="Delivered"/>
    <s v="TRK89423603"/>
    <n v="5"/>
    <s v="N/A"/>
    <s v="Facebook"/>
    <n v="1222.88"/>
  </r>
  <r>
    <x v="215"/>
    <n v="45148"/>
    <s v="C26767"/>
    <x v="4"/>
    <x v="2"/>
    <x v="215"/>
    <x v="187"/>
    <x v="4"/>
    <s v="Shipped"/>
    <s v="TRK24585307"/>
    <n v="5"/>
    <s v="FREESHIP"/>
    <s v="Facebook"/>
    <n v="303.6"/>
  </r>
  <r>
    <x v="216"/>
    <n v="45762"/>
    <s v="C70492"/>
    <x v="0"/>
    <x v="3"/>
    <x v="216"/>
    <x v="55"/>
    <x v="1"/>
    <s v="Cancelled"/>
    <s v="TRK84625405"/>
    <n v="8"/>
    <s v="WINTER15"/>
    <s v="Google"/>
    <n v="1984"/>
  </r>
  <r>
    <x v="217"/>
    <n v="45432"/>
    <s v="C61549"/>
    <x v="6"/>
    <x v="3"/>
    <x v="217"/>
    <x v="188"/>
    <x v="4"/>
    <s v="Returned"/>
    <s v="TRK65596914"/>
    <n v="9"/>
    <s v="N/A"/>
    <s v="Google"/>
    <n v="1286.04"/>
  </r>
  <r>
    <x v="218"/>
    <n v="45044"/>
    <s v="C11665"/>
    <x v="2"/>
    <x v="4"/>
    <x v="218"/>
    <x v="189"/>
    <x v="3"/>
    <s v="Shipped"/>
    <s v="TRK10993930"/>
    <n v="6"/>
    <s v="SAVE10"/>
    <s v="Instagram"/>
    <n v="337.38"/>
  </r>
  <r>
    <x v="219"/>
    <n v="45779"/>
    <s v="C48946"/>
    <x v="5"/>
    <x v="0"/>
    <x v="219"/>
    <x v="190"/>
    <x v="4"/>
    <s v="Delivered"/>
    <s v="TRK99387220"/>
    <n v="6"/>
    <s v="SAVE10"/>
    <s v="Email"/>
    <n v="309.85"/>
  </r>
  <r>
    <x v="220"/>
    <n v="45125"/>
    <s v="C79506"/>
    <x v="5"/>
    <x v="1"/>
    <x v="220"/>
    <x v="191"/>
    <x v="2"/>
    <s v="Pending"/>
    <s v="TRK95188748"/>
    <n v="6"/>
    <s v="SAVE10"/>
    <s v="Referral"/>
    <n v="746.34"/>
  </r>
  <r>
    <x v="221"/>
    <n v="45345"/>
    <s v="C93473"/>
    <x v="2"/>
    <x v="0"/>
    <x v="221"/>
    <x v="64"/>
    <x v="0"/>
    <s v="Pending"/>
    <s v="TRK50003989"/>
    <n v="6"/>
    <s v="SAVE10"/>
    <s v="Google"/>
    <n v="3196.85"/>
  </r>
  <r>
    <x v="222"/>
    <n v="45050"/>
    <s v="C43124"/>
    <x v="3"/>
    <x v="3"/>
    <x v="222"/>
    <x v="192"/>
    <x v="1"/>
    <s v="Shipped"/>
    <s v="TRK17293348"/>
    <n v="8"/>
    <s v="N/A"/>
    <s v="Instagram"/>
    <n v="2773.44"/>
  </r>
  <r>
    <x v="223"/>
    <n v="45546"/>
    <s v="C22783"/>
    <x v="1"/>
    <x v="3"/>
    <x v="223"/>
    <x v="113"/>
    <x v="2"/>
    <s v="Pending"/>
    <s v="TRK55009149"/>
    <n v="9"/>
    <s v="SAVE10"/>
    <s v="Instagram"/>
    <n v="2771.64"/>
  </r>
  <r>
    <x v="224"/>
    <n v="45192"/>
    <s v="C18567"/>
    <x v="4"/>
    <x v="3"/>
    <x v="224"/>
    <x v="193"/>
    <x v="4"/>
    <s v="Cancelled"/>
    <s v="TRK17554673"/>
    <n v="9"/>
    <s v="SAVE10"/>
    <s v="Referral"/>
    <n v="365.84"/>
  </r>
  <r>
    <x v="225"/>
    <n v="45364"/>
    <s v="C99879"/>
    <x v="1"/>
    <x v="4"/>
    <x v="225"/>
    <x v="194"/>
    <x v="0"/>
    <s v="Returned"/>
    <s v="TRK50246700"/>
    <n v="8"/>
    <s v="SAVE10"/>
    <s v="Google"/>
    <n v="821.88"/>
  </r>
  <r>
    <x v="226"/>
    <n v="45835"/>
    <s v="C31501"/>
    <x v="6"/>
    <x v="4"/>
    <x v="226"/>
    <x v="195"/>
    <x v="3"/>
    <s v="Delivered"/>
    <s v="TRK93063929"/>
    <n v="8"/>
    <s v="N/A"/>
    <s v="Instagram"/>
    <n v="1764.15"/>
  </r>
  <r>
    <x v="227"/>
    <n v="45232"/>
    <s v="C93220"/>
    <x v="0"/>
    <x v="1"/>
    <x v="227"/>
    <x v="118"/>
    <x v="1"/>
    <s v="Cancelled"/>
    <s v="TRK89023251"/>
    <n v="4"/>
    <s v="FREESHIP"/>
    <s v="Facebook"/>
    <n v="730.34"/>
  </r>
  <r>
    <x v="228"/>
    <n v="45063"/>
    <s v="C57867"/>
    <x v="3"/>
    <x v="3"/>
    <x v="228"/>
    <x v="196"/>
    <x v="2"/>
    <s v="Cancelled"/>
    <s v="TRK92055007"/>
    <n v="8"/>
    <s v="N/A"/>
    <s v="Instagram"/>
    <n v="1543.68"/>
  </r>
  <r>
    <x v="229"/>
    <n v="45744"/>
    <s v="C62622"/>
    <x v="2"/>
    <x v="2"/>
    <x v="229"/>
    <x v="197"/>
    <x v="2"/>
    <s v="Delivered"/>
    <s v="TRK70997648"/>
    <n v="3"/>
    <s v="WINTER15"/>
    <s v="Facebook"/>
    <n v="562.61"/>
  </r>
  <r>
    <x v="230"/>
    <n v="45276"/>
    <s v="C94595"/>
    <x v="6"/>
    <x v="3"/>
    <x v="230"/>
    <x v="198"/>
    <x v="3"/>
    <s v="Delivered"/>
    <s v="TRK24497305"/>
    <n v="6"/>
    <s v="WINTER15"/>
    <s v="Email"/>
    <n v="247.64"/>
  </r>
  <r>
    <x v="231"/>
    <n v="45235"/>
    <s v="C30955"/>
    <x v="1"/>
    <x v="3"/>
    <x v="231"/>
    <x v="199"/>
    <x v="3"/>
    <s v="Pending"/>
    <s v="TRK46898848"/>
    <n v="9"/>
    <s v="FREESHIP"/>
    <s v="Instagram"/>
    <n v="167.6"/>
  </r>
  <r>
    <x v="232"/>
    <n v="45065"/>
    <s v="C20731"/>
    <x v="4"/>
    <x v="3"/>
    <x v="232"/>
    <x v="200"/>
    <x v="0"/>
    <s v="Cancelled"/>
    <s v="TRK75568437"/>
    <n v="8"/>
    <s v="WINTER15"/>
    <s v="Google"/>
    <n v="1777.76"/>
  </r>
  <r>
    <x v="233"/>
    <n v="45528"/>
    <s v="C30168"/>
    <x v="1"/>
    <x v="4"/>
    <x v="233"/>
    <x v="72"/>
    <x v="4"/>
    <s v="Cancelled"/>
    <s v="TRK73699939"/>
    <n v="3"/>
    <s v="WINTER15"/>
    <s v="Instagram"/>
    <n v="933.99"/>
  </r>
  <r>
    <x v="234"/>
    <n v="45622"/>
    <s v="C79842"/>
    <x v="4"/>
    <x v="3"/>
    <x v="234"/>
    <x v="201"/>
    <x v="0"/>
    <s v="Pending"/>
    <s v="TRK26957950"/>
    <n v="7"/>
    <s v="SAVE10"/>
    <s v="Google"/>
    <n v="945.64"/>
  </r>
  <r>
    <x v="235"/>
    <n v="44977"/>
    <s v="C32854"/>
    <x v="6"/>
    <x v="2"/>
    <x v="235"/>
    <x v="202"/>
    <x v="4"/>
    <s v="Pending"/>
    <s v="TRK30009218"/>
    <n v="2"/>
    <s v="WINTER15"/>
    <s v="Google"/>
    <n v="65.45"/>
  </r>
  <r>
    <x v="236"/>
    <n v="44927"/>
    <s v="C14847"/>
    <x v="0"/>
    <x v="2"/>
    <x v="236"/>
    <x v="203"/>
    <x v="0"/>
    <s v="Pending"/>
    <s v="TRK39663243"/>
    <n v="3"/>
    <s v="WINTER15"/>
    <s v="Email"/>
    <n v="318.81"/>
  </r>
  <r>
    <x v="237"/>
    <n v="45365"/>
    <s v="C88645"/>
    <x v="0"/>
    <x v="4"/>
    <x v="237"/>
    <x v="204"/>
    <x v="2"/>
    <s v="Shipped"/>
    <s v="TRK74097570"/>
    <n v="5"/>
    <s v="FREESHIP"/>
    <s v="Facebook"/>
    <n v="1751.16"/>
  </r>
  <r>
    <x v="238"/>
    <n v="45639"/>
    <s v="C66149"/>
    <x v="6"/>
    <x v="3"/>
    <x v="238"/>
    <x v="205"/>
    <x v="2"/>
    <s v="Pending"/>
    <s v="TRK76307307"/>
    <n v="6"/>
    <s v="WINTER15"/>
    <s v="Google"/>
    <n v="1537.28"/>
  </r>
  <r>
    <x v="239"/>
    <n v="45637"/>
    <s v="C20256"/>
    <x v="2"/>
    <x v="4"/>
    <x v="239"/>
    <x v="206"/>
    <x v="1"/>
    <s v="Shipped"/>
    <s v="TRK71127943"/>
    <n v="6"/>
    <s v="FREESHIP"/>
    <s v="Email"/>
    <n v="1616.22"/>
  </r>
  <r>
    <x v="240"/>
    <n v="45119"/>
    <s v="C14983"/>
    <x v="2"/>
    <x v="2"/>
    <x v="240"/>
    <x v="207"/>
    <x v="1"/>
    <s v="Pending"/>
    <s v="TRK93444157"/>
    <n v="2"/>
    <s v="FREESHIP"/>
    <s v="Instagram"/>
    <n v="17.24"/>
  </r>
  <r>
    <x v="241"/>
    <n v="45062"/>
    <s v="C20817"/>
    <x v="3"/>
    <x v="0"/>
    <x v="241"/>
    <x v="208"/>
    <x v="1"/>
    <s v="Pending"/>
    <s v="TRK44164590"/>
    <n v="6"/>
    <s v="SAVE10"/>
    <s v="Email"/>
    <n v="3078.35"/>
  </r>
  <r>
    <x v="242"/>
    <n v="45055"/>
    <s v="C94921"/>
    <x v="4"/>
    <x v="1"/>
    <x v="242"/>
    <x v="209"/>
    <x v="1"/>
    <s v="Pending"/>
    <s v="TRK97794327"/>
    <n v="4"/>
    <s v="SAVE10"/>
    <s v="Referral"/>
    <n v="438.2"/>
  </r>
  <r>
    <x v="243"/>
    <n v="45786"/>
    <s v="C54725"/>
    <x v="3"/>
    <x v="1"/>
    <x v="243"/>
    <x v="210"/>
    <x v="1"/>
    <s v="Cancelled"/>
    <s v="TRK30601940"/>
    <n v="7"/>
    <s v="FREESHIP"/>
    <s v="Google"/>
    <n v="289.32"/>
  </r>
  <r>
    <x v="244"/>
    <n v="44973"/>
    <s v="C98096"/>
    <x v="6"/>
    <x v="1"/>
    <x v="244"/>
    <x v="211"/>
    <x v="0"/>
    <s v="Cancelled"/>
    <s v="TRK51518631"/>
    <n v="4"/>
    <s v="WINTER15"/>
    <s v="Facebook"/>
    <n v="635.54"/>
  </r>
  <r>
    <x v="245"/>
    <n v="45767"/>
    <s v="C12667"/>
    <x v="5"/>
    <x v="2"/>
    <x v="245"/>
    <x v="212"/>
    <x v="1"/>
    <s v="Returned"/>
    <s v="TRK25390491"/>
    <n v="1"/>
    <s v="N/A"/>
    <s v="Facebook"/>
    <n v="223.3"/>
  </r>
  <r>
    <x v="246"/>
    <n v="45534"/>
    <s v="C55354"/>
    <x v="6"/>
    <x v="1"/>
    <x v="246"/>
    <x v="213"/>
    <x v="3"/>
    <s v="Shipped"/>
    <s v="TRK15439493"/>
    <n v="2"/>
    <s v="WINTER15"/>
    <s v="Instagram"/>
    <n v="684.22"/>
  </r>
  <r>
    <x v="247"/>
    <n v="45127"/>
    <s v="C14600"/>
    <x v="4"/>
    <x v="1"/>
    <x v="247"/>
    <x v="214"/>
    <x v="3"/>
    <s v="Shipped"/>
    <s v="TRK84984764"/>
    <n v="4"/>
    <s v="N/A"/>
    <s v="Email"/>
    <n v="441.8"/>
  </r>
  <r>
    <x v="248"/>
    <n v="45109"/>
    <s v="C97187"/>
    <x v="5"/>
    <x v="2"/>
    <x v="248"/>
    <x v="215"/>
    <x v="4"/>
    <s v="Shipped"/>
    <s v="TRK62283713"/>
    <n v="6"/>
    <s v="FREESHIP"/>
    <s v="Referral"/>
    <n v="670.54"/>
  </r>
  <r>
    <x v="249"/>
    <n v="45329"/>
    <s v="C39106"/>
    <x v="4"/>
    <x v="2"/>
    <x v="249"/>
    <x v="216"/>
    <x v="4"/>
    <s v="Pending"/>
    <s v="TRK35464433"/>
    <n v="5"/>
    <s v="FREESHIP"/>
    <s v="Referral"/>
    <n v="546.19"/>
  </r>
  <r>
    <x v="250"/>
    <n v="45021"/>
    <s v="C93379"/>
    <x v="6"/>
    <x v="4"/>
    <x v="250"/>
    <x v="82"/>
    <x v="3"/>
    <s v="Returned"/>
    <s v="TRK67954150"/>
    <n v="8"/>
    <s v="SAVE10"/>
    <s v="Email"/>
    <n v="128.85"/>
  </r>
  <r>
    <x v="251"/>
    <n v="45792"/>
    <s v="C93175"/>
    <x v="0"/>
    <x v="3"/>
    <x v="251"/>
    <x v="217"/>
    <x v="4"/>
    <s v="Cancelled"/>
    <s v="TRK32995144"/>
    <n v="9"/>
    <s v="N/A"/>
    <s v="Email"/>
    <n v="58.76"/>
  </r>
  <r>
    <x v="252"/>
    <n v="45555"/>
    <s v="C19648"/>
    <x v="1"/>
    <x v="3"/>
    <x v="252"/>
    <x v="218"/>
    <x v="3"/>
    <s v="Cancelled"/>
    <s v="TRK51297879"/>
    <n v="5"/>
    <s v="FREESHIP"/>
    <s v="Facebook"/>
    <n v="2673.44"/>
  </r>
  <r>
    <x v="253"/>
    <n v="45374"/>
    <s v="C14891"/>
    <x v="3"/>
    <x v="3"/>
    <x v="253"/>
    <x v="93"/>
    <x v="3"/>
    <s v="Returned"/>
    <s v="TRK79471534"/>
    <n v="7"/>
    <s v="FREESHIP"/>
    <s v="Instagram"/>
    <n v="1654.96"/>
  </r>
  <r>
    <x v="254"/>
    <n v="45286"/>
    <s v="C10866"/>
    <x v="0"/>
    <x v="4"/>
    <x v="254"/>
    <x v="205"/>
    <x v="1"/>
    <s v="Delivered"/>
    <s v="TRK34809583"/>
    <n v="5"/>
    <s v="N/A"/>
    <s v="Instagram"/>
    <n v="789.57"/>
  </r>
  <r>
    <x v="255"/>
    <n v="45425"/>
    <s v="C47283"/>
    <x v="0"/>
    <x v="2"/>
    <x v="255"/>
    <x v="155"/>
    <x v="3"/>
    <s v="Returned"/>
    <s v="TRK56235117"/>
    <n v="2"/>
    <s v="SAVE10"/>
    <s v="Google"/>
    <n v="263.96"/>
  </r>
  <r>
    <x v="256"/>
    <n v="45838"/>
    <s v="C94323"/>
    <x v="3"/>
    <x v="0"/>
    <x v="256"/>
    <x v="219"/>
    <x v="3"/>
    <s v="Returned"/>
    <s v="TRK22663277"/>
    <n v="10"/>
    <s v="WINTER15"/>
    <s v="Instagram"/>
    <n v="379.05"/>
  </r>
  <r>
    <x v="257"/>
    <n v="45405"/>
    <s v="C89732"/>
    <x v="1"/>
    <x v="2"/>
    <x v="257"/>
    <x v="220"/>
    <x v="2"/>
    <s v="Cancelled"/>
    <s v="TRK41059233"/>
    <n v="5"/>
    <s v="SAVE10"/>
    <s v="Referral"/>
    <n v="406.22"/>
  </r>
  <r>
    <x v="258"/>
    <n v="45348"/>
    <s v="C87764"/>
    <x v="2"/>
    <x v="1"/>
    <x v="258"/>
    <x v="221"/>
    <x v="1"/>
    <s v="Shipped"/>
    <s v="TRK94082469"/>
    <n v="2"/>
    <s v="FREESHIP"/>
    <s v="Referral"/>
    <n v="206.82"/>
  </r>
  <r>
    <x v="259"/>
    <n v="45088"/>
    <s v="C20977"/>
    <x v="3"/>
    <x v="3"/>
    <x v="259"/>
    <x v="125"/>
    <x v="2"/>
    <s v="Delivered"/>
    <s v="TRK54991561"/>
    <n v="9"/>
    <s v="SAVE10"/>
    <s v="Instagram"/>
    <n v="1740.48"/>
  </r>
  <r>
    <x v="260"/>
    <n v="45063"/>
    <s v="C12245"/>
    <x v="0"/>
    <x v="1"/>
    <x v="260"/>
    <x v="222"/>
    <x v="0"/>
    <s v="Shipped"/>
    <s v="TRK22000463"/>
    <n v="3"/>
    <s v="N/A"/>
    <s v="Google"/>
    <n v="815.58"/>
  </r>
  <r>
    <x v="261"/>
    <n v="45805"/>
    <s v="C68976"/>
    <x v="1"/>
    <x v="0"/>
    <x v="261"/>
    <x v="223"/>
    <x v="3"/>
    <s v="Delivered"/>
    <s v="TRK25491356"/>
    <n v="9"/>
    <s v="SAVE10"/>
    <s v="Email"/>
    <n v="868.25"/>
  </r>
  <r>
    <x v="262"/>
    <n v="44936"/>
    <s v="C69476"/>
    <x v="1"/>
    <x v="3"/>
    <x v="262"/>
    <x v="126"/>
    <x v="2"/>
    <s v="Returned"/>
    <s v="TRK65869386"/>
    <n v="5"/>
    <s v="WINTER15"/>
    <s v="Referral"/>
    <n v="996.28"/>
  </r>
  <r>
    <x v="263"/>
    <n v="45010"/>
    <s v="C71040"/>
    <x v="1"/>
    <x v="3"/>
    <x v="263"/>
    <x v="224"/>
    <x v="2"/>
    <s v="Pending"/>
    <s v="TRK41397604"/>
    <n v="4"/>
    <s v="WINTER15"/>
    <s v="Google"/>
    <n v="1739.4"/>
  </r>
  <r>
    <x v="264"/>
    <n v="45507"/>
    <s v="C71035"/>
    <x v="2"/>
    <x v="2"/>
    <x v="264"/>
    <x v="225"/>
    <x v="4"/>
    <s v="Returned"/>
    <s v="TRK19599578"/>
    <n v="5"/>
    <s v="FREESHIP"/>
    <s v="Google"/>
    <n v="436.77"/>
  </r>
  <r>
    <x v="265"/>
    <n v="45282"/>
    <s v="C20752"/>
    <x v="4"/>
    <x v="2"/>
    <x v="265"/>
    <x v="226"/>
    <x v="0"/>
    <s v="Cancelled"/>
    <s v="TRK22298450"/>
    <n v="4"/>
    <s v="SAVE10"/>
    <s v="Google"/>
    <n v="572.13"/>
  </r>
  <r>
    <x v="266"/>
    <n v="45451"/>
    <s v="C38840"/>
    <x v="3"/>
    <x v="3"/>
    <x v="266"/>
    <x v="227"/>
    <x v="2"/>
    <s v="Cancelled"/>
    <s v="TRK48484633"/>
    <n v="6"/>
    <s v="FREESHIP"/>
    <s v="Referral"/>
    <n v="2332.28"/>
  </r>
  <r>
    <x v="267"/>
    <n v="45764"/>
    <s v="C84480"/>
    <x v="3"/>
    <x v="0"/>
    <x v="267"/>
    <x v="228"/>
    <x v="0"/>
    <s v="Delivered"/>
    <s v="TRK62361867"/>
    <n v="9"/>
    <s v="N/A"/>
    <s v="Facebook"/>
    <n v="2342.55"/>
  </r>
  <r>
    <x v="268"/>
    <n v="45149"/>
    <s v="C37032"/>
    <x v="1"/>
    <x v="1"/>
    <x v="268"/>
    <x v="229"/>
    <x v="0"/>
    <s v="Delivered"/>
    <s v="TRK48639226"/>
    <n v="7"/>
    <s v="SAVE10"/>
    <s v="Referral"/>
    <n v="847.76"/>
  </r>
  <r>
    <x v="269"/>
    <n v="45255"/>
    <s v="C48942"/>
    <x v="2"/>
    <x v="3"/>
    <x v="269"/>
    <x v="67"/>
    <x v="2"/>
    <s v="Pending"/>
    <s v="TRK29355120"/>
    <n v="7"/>
    <s v="FREESHIP"/>
    <s v="Google"/>
    <n v="2654.68"/>
  </r>
  <r>
    <x v="270"/>
    <n v="45081"/>
    <s v="C13540"/>
    <x v="4"/>
    <x v="3"/>
    <x v="270"/>
    <x v="230"/>
    <x v="0"/>
    <s v="Shipped"/>
    <s v="TRK81087373"/>
    <n v="5"/>
    <s v="WINTER15"/>
    <s v="Google"/>
    <n v="1239.64"/>
  </r>
  <r>
    <x v="271"/>
    <n v="45013"/>
    <s v="C59572"/>
    <x v="0"/>
    <x v="2"/>
    <x v="271"/>
    <x v="231"/>
    <x v="4"/>
    <s v="Shipped"/>
    <s v="TRK16792991"/>
    <n v="6"/>
    <s v="WINTER15"/>
    <s v="Referral"/>
    <n v="542.07"/>
  </r>
  <r>
    <x v="272"/>
    <n v="45188"/>
    <s v="C29758"/>
    <x v="3"/>
    <x v="1"/>
    <x v="272"/>
    <x v="232"/>
    <x v="1"/>
    <s v="Pending"/>
    <s v="TRK12990043"/>
    <n v="6"/>
    <s v="WINTER15"/>
    <s v="Instagram"/>
    <n v="798.64"/>
  </r>
  <r>
    <x v="273"/>
    <n v="45592"/>
    <s v="C11849"/>
    <x v="2"/>
    <x v="1"/>
    <x v="273"/>
    <x v="233"/>
    <x v="1"/>
    <s v="Cancelled"/>
    <s v="TRK91195261"/>
    <n v="7"/>
    <s v="FREESHIP"/>
    <s v="Email"/>
    <n v="476.5"/>
  </r>
  <r>
    <x v="274"/>
    <n v="44961"/>
    <s v="C50967"/>
    <x v="1"/>
    <x v="1"/>
    <x v="274"/>
    <x v="234"/>
    <x v="3"/>
    <s v="Cancelled"/>
    <s v="TRK65300814"/>
    <n v="5"/>
    <s v="SAVE10"/>
    <s v="Referral"/>
    <n v="364.8"/>
  </r>
  <r>
    <x v="275"/>
    <n v="45234"/>
    <s v="C80735"/>
    <x v="3"/>
    <x v="1"/>
    <x v="275"/>
    <x v="235"/>
    <x v="2"/>
    <s v="Cancelled"/>
    <s v="TRK99880231"/>
    <n v="4"/>
    <s v="SAVE10"/>
    <s v="Google"/>
    <n v="130.14"/>
  </r>
  <r>
    <x v="276"/>
    <n v="45745"/>
    <s v="C99050"/>
    <x v="4"/>
    <x v="1"/>
    <x v="276"/>
    <x v="236"/>
    <x v="0"/>
    <s v="Returned"/>
    <s v="TRK56927089"/>
    <n v="3"/>
    <s v="WINTER15"/>
    <s v="Instagram"/>
    <n v="1201.14"/>
  </r>
  <r>
    <x v="277"/>
    <n v="45544"/>
    <s v="C11210"/>
    <x v="3"/>
    <x v="0"/>
    <x v="277"/>
    <x v="237"/>
    <x v="2"/>
    <s v="Delivered"/>
    <s v="TRK44929965"/>
    <n v="9"/>
    <s v="SAVE10"/>
    <s v="Facebook"/>
    <n v="454.6"/>
  </r>
  <r>
    <x v="278"/>
    <n v="45614"/>
    <s v="C46015"/>
    <x v="5"/>
    <x v="0"/>
    <x v="278"/>
    <x v="238"/>
    <x v="4"/>
    <s v="Delivered"/>
    <s v="TRK46598430"/>
    <n v="6"/>
    <s v="FREESHIP"/>
    <s v="Instagram"/>
    <n v="1812.3"/>
  </r>
  <r>
    <x v="279"/>
    <n v="45219"/>
    <s v="C69167"/>
    <x v="3"/>
    <x v="4"/>
    <x v="279"/>
    <x v="239"/>
    <x v="1"/>
    <s v="Pending"/>
    <s v="TRK12425655"/>
    <n v="7"/>
    <s v="WINTER15"/>
    <s v="Email"/>
    <n v="165.03"/>
  </r>
  <r>
    <x v="280"/>
    <n v="45012"/>
    <s v="C55388"/>
    <x v="2"/>
    <x v="4"/>
    <x v="280"/>
    <x v="240"/>
    <x v="3"/>
    <s v="Delivered"/>
    <s v="TRK75741001"/>
    <n v="6"/>
    <s v="FREESHIP"/>
    <s v="Instagram"/>
    <n v="1213.86"/>
  </r>
  <r>
    <x v="281"/>
    <n v="45134"/>
    <s v="C87181"/>
    <x v="6"/>
    <x v="3"/>
    <x v="281"/>
    <x v="241"/>
    <x v="4"/>
    <s v="Pending"/>
    <s v="TRK60093390"/>
    <n v="9"/>
    <s v="N/A"/>
    <s v="Referral"/>
    <n v="2619.16"/>
  </r>
  <r>
    <x v="282"/>
    <n v="45769"/>
    <s v="C30411"/>
    <x v="4"/>
    <x v="3"/>
    <x v="282"/>
    <x v="242"/>
    <x v="3"/>
    <s v="Cancelled"/>
    <s v="TRK71810536"/>
    <n v="9"/>
    <s v="FREESHIP"/>
    <s v="Google"/>
    <n v="2551.16"/>
  </r>
  <r>
    <x v="283"/>
    <n v="45716"/>
    <s v="C39638"/>
    <x v="5"/>
    <x v="3"/>
    <x v="283"/>
    <x v="243"/>
    <x v="4"/>
    <s v="Shipped"/>
    <s v="TRK69745608"/>
    <n v="6"/>
    <s v="N/A"/>
    <s v="Google"/>
    <n v="2161.32"/>
  </r>
  <r>
    <x v="284"/>
    <n v="44973"/>
    <s v="C27203"/>
    <x v="5"/>
    <x v="0"/>
    <x v="284"/>
    <x v="244"/>
    <x v="2"/>
    <s v="Returned"/>
    <s v="TRK22023906"/>
    <n v="6"/>
    <s v="SAVE10"/>
    <s v="Facebook"/>
    <n v="1040.85"/>
  </r>
  <r>
    <x v="285"/>
    <n v="45818"/>
    <s v="C67583"/>
    <x v="1"/>
    <x v="2"/>
    <x v="285"/>
    <x v="233"/>
    <x v="1"/>
    <s v="Delivered"/>
    <s v="TRK93281700"/>
    <n v="3"/>
    <s v="N/A"/>
    <s v="Google"/>
    <n v="338.31"/>
  </r>
  <r>
    <x v="286"/>
    <n v="45754"/>
    <s v="C70554"/>
    <x v="0"/>
    <x v="4"/>
    <x v="286"/>
    <x v="112"/>
    <x v="3"/>
    <s v="Returned"/>
    <s v="TRK61086952"/>
    <n v="8"/>
    <s v="WINTER15"/>
    <s v="Google"/>
    <n v="418.35"/>
  </r>
  <r>
    <x v="287"/>
    <n v="45254"/>
    <s v="C70437"/>
    <x v="3"/>
    <x v="3"/>
    <x v="287"/>
    <x v="245"/>
    <x v="1"/>
    <s v="Shipped"/>
    <s v="TRK26628830"/>
    <n v="5"/>
    <s v="N/A"/>
    <s v="Facebook"/>
    <n v="2620.72"/>
  </r>
  <r>
    <x v="288"/>
    <n v="44997"/>
    <s v="C97643"/>
    <x v="5"/>
    <x v="3"/>
    <x v="288"/>
    <x v="246"/>
    <x v="0"/>
    <s v="Returned"/>
    <s v="TRK60831391"/>
    <n v="8"/>
    <s v="WINTER15"/>
    <s v="Google"/>
    <n v="2051"/>
  </r>
  <r>
    <x v="289"/>
    <n v="45133"/>
    <s v="C17136"/>
    <x v="3"/>
    <x v="3"/>
    <x v="289"/>
    <x v="10"/>
    <x v="2"/>
    <s v="Shipped"/>
    <s v="TRK55362541"/>
    <n v="8"/>
    <s v="WINTER15"/>
    <s v="Referral"/>
    <n v="641.96"/>
  </r>
  <r>
    <x v="290"/>
    <n v="45051"/>
    <s v="C24901"/>
    <x v="3"/>
    <x v="4"/>
    <x v="290"/>
    <x v="165"/>
    <x v="4"/>
    <s v="Delivered"/>
    <s v="TRK14029489"/>
    <n v="8"/>
    <s v="FREESHIP"/>
    <s v="Facebook"/>
    <n v="299.7"/>
  </r>
  <r>
    <x v="291"/>
    <n v="45424"/>
    <s v="C61521"/>
    <x v="1"/>
    <x v="1"/>
    <x v="291"/>
    <x v="247"/>
    <x v="2"/>
    <s v="Delivered"/>
    <s v="TRK93676567"/>
    <n v="6"/>
    <s v="FREESHIP"/>
    <s v="Google"/>
    <n v="690.02"/>
  </r>
  <r>
    <x v="292"/>
    <n v="45672"/>
    <s v="C39639"/>
    <x v="0"/>
    <x v="2"/>
    <x v="292"/>
    <x v="184"/>
    <x v="2"/>
    <s v="Delivered"/>
    <s v="TRK31042152"/>
    <n v="5"/>
    <s v="N/A"/>
    <s v="Facebook"/>
    <n v="65.95"/>
  </r>
  <r>
    <x v="293"/>
    <n v="44973"/>
    <s v="C33220"/>
    <x v="2"/>
    <x v="3"/>
    <x v="293"/>
    <x v="248"/>
    <x v="3"/>
    <s v="Returned"/>
    <s v="TRK40450219"/>
    <n v="9"/>
    <s v="N/A"/>
    <s v="Instagram"/>
    <n v="1852.16"/>
  </r>
  <r>
    <x v="294"/>
    <n v="45748"/>
    <s v="C65414"/>
    <x v="1"/>
    <x v="1"/>
    <x v="294"/>
    <x v="249"/>
    <x v="1"/>
    <s v="Shipped"/>
    <s v="TRK67562517"/>
    <n v="7"/>
    <s v="SAVE10"/>
    <s v="Referral"/>
    <n v="595.42"/>
  </r>
  <r>
    <x v="295"/>
    <n v="44951"/>
    <s v="C49009"/>
    <x v="4"/>
    <x v="0"/>
    <x v="295"/>
    <x v="250"/>
    <x v="0"/>
    <s v="Cancelled"/>
    <s v="TRK46285799"/>
    <n v="9"/>
    <s v="FREESHIP"/>
    <s v="Email"/>
    <n v="537.4"/>
  </r>
  <r>
    <x v="296"/>
    <n v="45462"/>
    <s v="C48453"/>
    <x v="6"/>
    <x v="0"/>
    <x v="296"/>
    <x v="48"/>
    <x v="0"/>
    <s v="Cancelled"/>
    <s v="TRK52110494"/>
    <n v="10"/>
    <s v="WINTER15"/>
    <s v="Referral"/>
    <n v="3194"/>
  </r>
  <r>
    <x v="297"/>
    <n v="44979"/>
    <s v="C68078"/>
    <x v="6"/>
    <x v="1"/>
    <x v="297"/>
    <x v="251"/>
    <x v="2"/>
    <s v="Returned"/>
    <s v="TRK64862812"/>
    <n v="7"/>
    <s v="SAVE10"/>
    <s v="Instagram"/>
    <n v="987.76"/>
  </r>
  <r>
    <x v="298"/>
    <n v="45279"/>
    <s v="C19402"/>
    <x v="4"/>
    <x v="3"/>
    <x v="298"/>
    <x v="40"/>
    <x v="1"/>
    <s v="Cancelled"/>
    <s v="TRK97825212"/>
    <n v="6"/>
    <s v="N/A"/>
    <s v="Email"/>
    <n v="1204.68"/>
  </r>
  <r>
    <x v="299"/>
    <n v="45311"/>
    <s v="C30711"/>
    <x v="0"/>
    <x v="2"/>
    <x v="299"/>
    <x v="252"/>
    <x v="3"/>
    <s v="Cancelled"/>
    <s v="TRK42696593"/>
    <n v="2"/>
    <s v="FREESHIP"/>
    <s v="Instagram"/>
    <n v="278.66"/>
  </r>
  <r>
    <x v="300"/>
    <n v="45537"/>
    <s v="C39000"/>
    <x v="1"/>
    <x v="2"/>
    <x v="300"/>
    <x v="253"/>
    <x v="0"/>
    <s v="Returned"/>
    <s v="TRK33753945"/>
    <n v="3"/>
    <s v="FREESHIP"/>
    <s v="Facebook"/>
    <n v="287.46"/>
  </r>
  <r>
    <x v="301"/>
    <n v="45057"/>
    <s v="C31105"/>
    <x v="3"/>
    <x v="2"/>
    <x v="301"/>
    <x v="254"/>
    <x v="4"/>
    <s v="Cancelled"/>
    <s v="TRK40149095"/>
    <n v="2"/>
    <s v="SAVE10"/>
    <s v="Email"/>
    <n v="583.99"/>
  </r>
  <r>
    <x v="302"/>
    <n v="45062"/>
    <s v="C29432"/>
    <x v="3"/>
    <x v="4"/>
    <x v="302"/>
    <x v="255"/>
    <x v="4"/>
    <s v="Pending"/>
    <s v="TRK44142517"/>
    <n v="4"/>
    <s v="FREESHIP"/>
    <s v="Instagram"/>
    <n v="1406.22"/>
  </r>
  <r>
    <x v="303"/>
    <n v="45633"/>
    <s v="C48531"/>
    <x v="2"/>
    <x v="2"/>
    <x v="303"/>
    <x v="256"/>
    <x v="0"/>
    <s v="Returned"/>
    <s v="TRK95462192"/>
    <n v="1"/>
    <s v="N/A"/>
    <s v="Google"/>
    <n v="30.54"/>
  </r>
  <r>
    <x v="304"/>
    <n v="45583"/>
    <s v="C86762"/>
    <x v="0"/>
    <x v="0"/>
    <x v="304"/>
    <x v="257"/>
    <x v="3"/>
    <s v="Delivered"/>
    <s v="TRK75686292"/>
    <n v="10"/>
    <s v="FREESHIP"/>
    <s v="Instagram"/>
    <n v="2043.65"/>
  </r>
  <r>
    <x v="305"/>
    <n v="45255"/>
    <s v="C63822"/>
    <x v="5"/>
    <x v="3"/>
    <x v="305"/>
    <x v="258"/>
    <x v="4"/>
    <s v="Pending"/>
    <s v="TRK59353216"/>
    <n v="9"/>
    <s v="FREESHIP"/>
    <s v="Instagram"/>
    <n v="507.56"/>
  </r>
  <r>
    <x v="306"/>
    <n v="45450"/>
    <s v="C70495"/>
    <x v="4"/>
    <x v="1"/>
    <x v="306"/>
    <x v="259"/>
    <x v="0"/>
    <s v="Returned"/>
    <s v="TRK65511225"/>
    <n v="3"/>
    <s v="SAVE10"/>
    <s v="Instagram"/>
    <n v="114.14"/>
  </r>
  <r>
    <x v="307"/>
    <n v="45108"/>
    <s v="C92407"/>
    <x v="5"/>
    <x v="4"/>
    <x v="307"/>
    <x v="260"/>
    <x v="1"/>
    <s v="Delivered"/>
    <s v="TRK11755610"/>
    <n v="4"/>
    <s v="N/A"/>
    <s v="Email"/>
    <n v="1672.23"/>
  </r>
  <r>
    <x v="308"/>
    <n v="45271"/>
    <s v="C75888"/>
    <x v="4"/>
    <x v="4"/>
    <x v="308"/>
    <x v="156"/>
    <x v="0"/>
    <s v="Returned"/>
    <s v="TRK98467398"/>
    <n v="7"/>
    <s v="SAVE10"/>
    <s v="Instagram"/>
    <n v="1346.7"/>
  </r>
  <r>
    <x v="309"/>
    <n v="45202"/>
    <s v="C63153"/>
    <x v="3"/>
    <x v="3"/>
    <x v="309"/>
    <x v="261"/>
    <x v="0"/>
    <s v="Delivered"/>
    <s v="TRK38033305"/>
    <n v="4"/>
    <s v="FREESHIP"/>
    <s v="Facebook"/>
    <n v="2199.04"/>
  </r>
  <r>
    <x v="310"/>
    <n v="45346"/>
    <s v="C85863"/>
    <x v="4"/>
    <x v="4"/>
    <x v="310"/>
    <x v="262"/>
    <x v="1"/>
    <s v="Shipped"/>
    <s v="TRK16094218"/>
    <n v="4"/>
    <s v="N/A"/>
    <s v="Referral"/>
    <n v="397.44"/>
  </r>
  <r>
    <x v="311"/>
    <n v="45794"/>
    <s v="C71698"/>
    <x v="6"/>
    <x v="0"/>
    <x v="311"/>
    <x v="263"/>
    <x v="1"/>
    <s v="Returned"/>
    <s v="TRK34786818"/>
    <n v="8"/>
    <s v="N/A"/>
    <s v="Instagram"/>
    <n v="2446.85"/>
  </r>
  <r>
    <x v="312"/>
    <n v="45801"/>
    <s v="C35397"/>
    <x v="4"/>
    <x v="0"/>
    <x v="312"/>
    <x v="196"/>
    <x v="3"/>
    <s v="Pending"/>
    <s v="TRK64742535"/>
    <n v="7"/>
    <s v="FREESHIP"/>
    <s v="Referral"/>
    <n v="331.55"/>
  </r>
  <r>
    <x v="313"/>
    <n v="45116"/>
    <s v="C67687"/>
    <x v="3"/>
    <x v="1"/>
    <x v="313"/>
    <x v="264"/>
    <x v="4"/>
    <s v="Delivered"/>
    <s v="TRK22838735"/>
    <n v="7"/>
    <s v="SAVE10"/>
    <s v="Instagram"/>
    <n v="868.6"/>
  </r>
  <r>
    <x v="314"/>
    <n v="45203"/>
    <s v="C29931"/>
    <x v="6"/>
    <x v="3"/>
    <x v="314"/>
    <x v="265"/>
    <x v="1"/>
    <s v="Delivered"/>
    <s v="TRK48712417"/>
    <n v="4"/>
    <s v="FREESHIP"/>
    <s v="Referral"/>
    <n v="612.36"/>
  </r>
  <r>
    <x v="315"/>
    <n v="45789"/>
    <s v="C59139"/>
    <x v="2"/>
    <x v="0"/>
    <x v="315"/>
    <x v="266"/>
    <x v="1"/>
    <s v="Cancelled"/>
    <s v="TRK45507090"/>
    <n v="9"/>
    <s v="FREESHIP"/>
    <s v="Email"/>
    <n v="458.35"/>
  </r>
  <r>
    <x v="316"/>
    <n v="45201"/>
    <s v="C66078"/>
    <x v="6"/>
    <x v="3"/>
    <x v="316"/>
    <x v="267"/>
    <x v="3"/>
    <s v="Shipped"/>
    <s v="TRK86474559"/>
    <n v="9"/>
    <s v="WINTER15"/>
    <s v="Facebook"/>
    <n v="1101.12"/>
  </r>
  <r>
    <x v="317"/>
    <n v="45026"/>
    <s v="C88370"/>
    <x v="0"/>
    <x v="1"/>
    <x v="317"/>
    <x v="268"/>
    <x v="1"/>
    <s v="Returned"/>
    <s v="TRK22575151"/>
    <n v="5"/>
    <s v="N/A"/>
    <s v="Instagram"/>
    <n v="279.9"/>
  </r>
  <r>
    <x v="318"/>
    <n v="45500"/>
    <s v="C93375"/>
    <x v="3"/>
    <x v="4"/>
    <x v="318"/>
    <x v="186"/>
    <x v="0"/>
    <s v="Cancelled"/>
    <s v="TRK95706967"/>
    <n v="7"/>
    <s v="SAVE10"/>
    <s v="Google"/>
    <n v="446.16"/>
  </r>
  <r>
    <x v="319"/>
    <n v="45262"/>
    <s v="C53049"/>
    <x v="5"/>
    <x v="1"/>
    <x v="319"/>
    <x v="269"/>
    <x v="4"/>
    <s v="Returned"/>
    <s v="TRK48974907"/>
    <n v="6"/>
    <s v="N/A"/>
    <s v="Instagram"/>
    <n v="1126.12"/>
  </r>
  <r>
    <x v="320"/>
    <n v="45645"/>
    <s v="C55590"/>
    <x v="4"/>
    <x v="2"/>
    <x v="320"/>
    <x v="270"/>
    <x v="2"/>
    <s v="Shipped"/>
    <s v="TRK48792951"/>
    <n v="1"/>
    <s v="FREESHIP"/>
    <s v="Facebook"/>
    <n v="625.51"/>
  </r>
  <r>
    <x v="321"/>
    <n v="45147"/>
    <s v="C47086"/>
    <x v="1"/>
    <x v="3"/>
    <x v="321"/>
    <x v="260"/>
    <x v="0"/>
    <s v="Cancelled"/>
    <s v="TRK44194358"/>
    <n v="6"/>
    <s v="WINTER15"/>
    <s v="Google"/>
    <n v="609.16"/>
  </r>
  <r>
    <x v="322"/>
    <n v="45457"/>
    <s v="C48646"/>
    <x v="1"/>
    <x v="0"/>
    <x v="322"/>
    <x v="268"/>
    <x v="0"/>
    <s v="Delivered"/>
    <s v="TRK18233748"/>
    <n v="6"/>
    <s v="SAVE10"/>
    <s v="Facebook"/>
    <n v="1159.1"/>
  </r>
  <r>
    <x v="323"/>
    <n v="45683"/>
    <s v="C29416"/>
    <x v="5"/>
    <x v="2"/>
    <x v="323"/>
    <x v="271"/>
    <x v="0"/>
    <s v="Returned"/>
    <s v="TRK63820842"/>
    <n v="1"/>
    <s v="SAVE10"/>
    <s v="Referral"/>
    <n v="150.17"/>
  </r>
  <r>
    <x v="324"/>
    <n v="45456"/>
    <s v="C13525"/>
    <x v="2"/>
    <x v="4"/>
    <x v="324"/>
    <x v="272"/>
    <x v="0"/>
    <s v="Returned"/>
    <s v="TRK70193221"/>
    <n v="5"/>
    <s v="N/A"/>
    <s v="Referral"/>
    <n v="212.79"/>
  </r>
  <r>
    <x v="325"/>
    <n v="45106"/>
    <s v="C53545"/>
    <x v="6"/>
    <x v="4"/>
    <x v="325"/>
    <x v="273"/>
    <x v="2"/>
    <s v="Shipped"/>
    <s v="TRK61123177"/>
    <n v="8"/>
    <s v="N/A"/>
    <s v="Referral"/>
    <n v="1084.17"/>
  </r>
  <r>
    <x v="326"/>
    <n v="45474"/>
    <s v="C65986"/>
    <x v="5"/>
    <x v="0"/>
    <x v="326"/>
    <x v="19"/>
    <x v="3"/>
    <s v="Returned"/>
    <s v="TRK98353867"/>
    <n v="5"/>
    <s v="SAVE10"/>
    <s v="Facebook"/>
    <n v="3352.4"/>
  </r>
  <r>
    <x v="327"/>
    <n v="45132"/>
    <s v="C17302"/>
    <x v="1"/>
    <x v="2"/>
    <x v="327"/>
    <x v="61"/>
    <x v="3"/>
    <s v="Cancelled"/>
    <s v="TRK43940016"/>
    <n v="5"/>
    <s v="SAVE10"/>
    <s v="Email"/>
    <n v="359.99"/>
  </r>
  <r>
    <x v="328"/>
    <n v="44985"/>
    <s v="C18404"/>
    <x v="2"/>
    <x v="0"/>
    <x v="328"/>
    <x v="274"/>
    <x v="1"/>
    <s v="Cancelled"/>
    <s v="TRK89401624"/>
    <n v="7"/>
    <s v="SAVE10"/>
    <s v="Google"/>
    <n v="3370.2"/>
  </r>
  <r>
    <x v="329"/>
    <n v="45651"/>
    <s v="C88371"/>
    <x v="3"/>
    <x v="3"/>
    <x v="329"/>
    <x v="212"/>
    <x v="2"/>
    <s v="Shipped"/>
    <s v="TRK63224811"/>
    <n v="6"/>
    <s v="N/A"/>
    <s v="Google"/>
    <n v="1132.64"/>
  </r>
  <r>
    <x v="330"/>
    <n v="45445"/>
    <s v="C38068"/>
    <x v="6"/>
    <x v="0"/>
    <x v="330"/>
    <x v="275"/>
    <x v="3"/>
    <s v="Pending"/>
    <s v="TRK54059198"/>
    <n v="5"/>
    <s v="SAVE10"/>
    <s v="Instagram"/>
    <n v="1302.65"/>
  </r>
  <r>
    <x v="331"/>
    <n v="45031"/>
    <s v="C78724"/>
    <x v="4"/>
    <x v="4"/>
    <x v="331"/>
    <x v="112"/>
    <x v="1"/>
    <s v="Delivered"/>
    <s v="TRK25703134"/>
    <n v="7"/>
    <s v="SAVE10"/>
    <s v="Facebook"/>
    <n v="1266.39"/>
  </r>
  <r>
    <x v="332"/>
    <n v="45476"/>
    <s v="C26163"/>
    <x v="6"/>
    <x v="0"/>
    <x v="332"/>
    <x v="276"/>
    <x v="0"/>
    <s v="Pending"/>
    <s v="TRK67499316"/>
    <n v="9"/>
    <s v="SAVE10"/>
    <s v="Google"/>
    <n v="625.1"/>
  </r>
  <r>
    <x v="333"/>
    <n v="45398"/>
    <s v="C87124"/>
    <x v="1"/>
    <x v="2"/>
    <x v="333"/>
    <x v="277"/>
    <x v="2"/>
    <s v="Returned"/>
    <s v="TRK52086740"/>
    <n v="5"/>
    <s v="WINTER15"/>
    <s v="Instagram"/>
    <n v="198.51"/>
  </r>
  <r>
    <x v="334"/>
    <n v="45377"/>
    <s v="C90348"/>
    <x v="3"/>
    <x v="3"/>
    <x v="334"/>
    <x v="278"/>
    <x v="1"/>
    <s v="Delivered"/>
    <s v="TRK20635777"/>
    <n v="7"/>
    <s v="WINTER15"/>
    <s v="Facebook"/>
    <n v="899"/>
  </r>
  <r>
    <x v="335"/>
    <n v="45719"/>
    <s v="C58721"/>
    <x v="2"/>
    <x v="4"/>
    <x v="335"/>
    <x v="264"/>
    <x v="3"/>
    <s v="Shipped"/>
    <s v="TRK34801199"/>
    <n v="4"/>
    <s v="N/A"/>
    <s v="Email"/>
    <n v="617.58"/>
  </r>
  <r>
    <x v="336"/>
    <n v="45289"/>
    <s v="C88174"/>
    <x v="5"/>
    <x v="2"/>
    <x v="336"/>
    <x v="279"/>
    <x v="0"/>
    <s v="Pending"/>
    <s v="TRK10143345"/>
    <n v="4"/>
    <s v="SAVE10"/>
    <s v="Instagram"/>
    <n v="18.2"/>
  </r>
  <r>
    <x v="337"/>
    <n v="45075"/>
    <s v="C77763"/>
    <x v="2"/>
    <x v="4"/>
    <x v="337"/>
    <x v="280"/>
    <x v="0"/>
    <s v="Returned"/>
    <s v="TRK66980447"/>
    <n v="8"/>
    <s v="WINTER15"/>
    <s v="Email"/>
    <n v="1508.31"/>
  </r>
  <r>
    <x v="338"/>
    <n v="45238"/>
    <s v="C53627"/>
    <x v="1"/>
    <x v="0"/>
    <x v="338"/>
    <x v="281"/>
    <x v="0"/>
    <s v="Shipped"/>
    <s v="TRK64112352"/>
    <n v="10"/>
    <s v="N/A"/>
    <s v="Referral"/>
    <n v="1527.45"/>
  </r>
  <r>
    <x v="339"/>
    <n v="45392"/>
    <s v="C84563"/>
    <x v="4"/>
    <x v="1"/>
    <x v="339"/>
    <x v="282"/>
    <x v="1"/>
    <s v="Pending"/>
    <s v="TRK62422797"/>
    <n v="3"/>
    <s v="SAVE10"/>
    <s v="Instagram"/>
    <n v="472.66"/>
  </r>
  <r>
    <x v="340"/>
    <n v="45039"/>
    <s v="C76207"/>
    <x v="5"/>
    <x v="0"/>
    <x v="340"/>
    <x v="283"/>
    <x v="4"/>
    <s v="Cancelled"/>
    <s v="TRK25569378"/>
    <n v="8"/>
    <s v="N/A"/>
    <s v="Email"/>
    <n v="2606.25"/>
  </r>
  <r>
    <x v="341"/>
    <n v="45558"/>
    <s v="C94671"/>
    <x v="2"/>
    <x v="2"/>
    <x v="341"/>
    <x v="284"/>
    <x v="3"/>
    <s v="Shipped"/>
    <s v="TRK61357272"/>
    <n v="5"/>
    <s v="WINTER15"/>
    <s v="Email"/>
    <n v="167.15"/>
  </r>
  <r>
    <x v="342"/>
    <n v="45832"/>
    <s v="C69994"/>
    <x v="0"/>
    <x v="0"/>
    <x v="342"/>
    <x v="285"/>
    <x v="3"/>
    <s v="Returned"/>
    <s v="TRK95935805"/>
    <n v="5"/>
    <s v="N/A"/>
    <s v="Referral"/>
    <n v="2332.1"/>
  </r>
  <r>
    <x v="343"/>
    <n v="44983"/>
    <s v="C64638"/>
    <x v="4"/>
    <x v="2"/>
    <x v="343"/>
    <x v="286"/>
    <x v="0"/>
    <s v="Pending"/>
    <s v="TRK64087938"/>
    <n v="3"/>
    <s v="FREESHIP"/>
    <s v="Facebook"/>
    <n v="527.57"/>
  </r>
  <r>
    <x v="344"/>
    <n v="45722"/>
    <s v="C95623"/>
    <x v="2"/>
    <x v="4"/>
    <x v="344"/>
    <x v="287"/>
    <x v="1"/>
    <s v="Cancelled"/>
    <s v="TRK67558189"/>
    <n v="3"/>
    <s v="SAVE10"/>
    <s v="Instagram"/>
    <n v="1870.02"/>
  </r>
  <r>
    <x v="345"/>
    <n v="45267"/>
    <s v="C24751"/>
    <x v="2"/>
    <x v="0"/>
    <x v="345"/>
    <x v="288"/>
    <x v="3"/>
    <s v="Shipped"/>
    <s v="TRK37285406"/>
    <n v="10"/>
    <s v="FREESHIP"/>
    <s v="Referral"/>
    <n v="2506.3"/>
  </r>
  <r>
    <x v="346"/>
    <n v="45632"/>
    <s v="C31764"/>
    <x v="2"/>
    <x v="2"/>
    <x v="346"/>
    <x v="289"/>
    <x v="4"/>
    <s v="Pending"/>
    <s v="TRK44680433"/>
    <n v="6"/>
    <s v="N/A"/>
    <s v="Referral"/>
    <n v="655.09"/>
  </r>
  <r>
    <x v="347"/>
    <n v="45325"/>
    <s v="C83556"/>
    <x v="4"/>
    <x v="3"/>
    <x v="347"/>
    <x v="290"/>
    <x v="2"/>
    <s v="Pending"/>
    <s v="TRK21109187"/>
    <n v="5"/>
    <s v="SAVE10"/>
    <s v="Google"/>
    <n v="1059.16"/>
  </r>
  <r>
    <x v="348"/>
    <n v="45364"/>
    <s v="C24369"/>
    <x v="5"/>
    <x v="4"/>
    <x v="348"/>
    <x v="291"/>
    <x v="0"/>
    <s v="Returned"/>
    <s v="TRK72633998"/>
    <n v="7"/>
    <s v="FREESHIP"/>
    <s v="Email"/>
    <n v="1079.19"/>
  </r>
  <r>
    <x v="349"/>
    <n v="45260"/>
    <s v="C39648"/>
    <x v="3"/>
    <x v="2"/>
    <x v="349"/>
    <x v="292"/>
    <x v="3"/>
    <s v="Delivered"/>
    <s v="TRK56016905"/>
    <n v="2"/>
    <s v="FREESHIP"/>
    <s v="Google"/>
    <n v="465.33"/>
  </r>
  <r>
    <x v="350"/>
    <n v="45080"/>
    <s v="C13296"/>
    <x v="3"/>
    <x v="1"/>
    <x v="350"/>
    <x v="293"/>
    <x v="1"/>
    <s v="Shipped"/>
    <s v="TRK60127216"/>
    <n v="6"/>
    <s v="N/A"/>
    <s v="Instagram"/>
    <n v="108.82"/>
  </r>
  <r>
    <x v="351"/>
    <n v="45703"/>
    <s v="C94248"/>
    <x v="5"/>
    <x v="2"/>
    <x v="351"/>
    <x v="294"/>
    <x v="0"/>
    <s v="Delivered"/>
    <s v="TRK89406816"/>
    <n v="4"/>
    <s v="N/A"/>
    <s v="Instagram"/>
    <n v="64.66"/>
  </r>
  <r>
    <x v="352"/>
    <n v="45169"/>
    <s v="C26637"/>
    <x v="3"/>
    <x v="0"/>
    <x v="352"/>
    <x v="295"/>
    <x v="0"/>
    <s v="Pending"/>
    <s v="TRK59546992"/>
    <n v="8"/>
    <s v="WINTER15"/>
    <s v="Instagram"/>
    <n v="869.8"/>
  </r>
  <r>
    <x v="353"/>
    <n v="45744"/>
    <s v="C16012"/>
    <x v="2"/>
    <x v="2"/>
    <x v="353"/>
    <x v="296"/>
    <x v="1"/>
    <s v="Delivered"/>
    <s v="TRK15195225"/>
    <n v="5"/>
    <s v="FREESHIP"/>
    <s v="Google"/>
    <n v="630.82"/>
  </r>
  <r>
    <x v="354"/>
    <n v="45118"/>
    <s v="C31772"/>
    <x v="1"/>
    <x v="2"/>
    <x v="354"/>
    <x v="297"/>
    <x v="0"/>
    <s v="Shipped"/>
    <s v="TRK11970357"/>
    <n v="4"/>
    <s v="N/A"/>
    <s v="Instagram"/>
    <n v="693.41"/>
  </r>
  <r>
    <x v="355"/>
    <n v="45811"/>
    <s v="C18353"/>
    <x v="2"/>
    <x v="4"/>
    <x v="355"/>
    <x v="298"/>
    <x v="2"/>
    <s v="Cancelled"/>
    <s v="TRK78766533"/>
    <n v="4"/>
    <s v="FREESHIP"/>
    <s v="Referral"/>
    <n v="1299.99"/>
  </r>
  <r>
    <x v="356"/>
    <n v="45052"/>
    <s v="C26966"/>
    <x v="4"/>
    <x v="0"/>
    <x v="356"/>
    <x v="299"/>
    <x v="3"/>
    <s v="Cancelled"/>
    <s v="TRK83889574"/>
    <n v="10"/>
    <s v="FREESHIP"/>
    <s v="Instagram"/>
    <n v="1872.9"/>
  </r>
  <r>
    <x v="357"/>
    <n v="45115"/>
    <s v="C74982"/>
    <x v="5"/>
    <x v="0"/>
    <x v="357"/>
    <x v="282"/>
    <x v="0"/>
    <s v="Delivered"/>
    <s v="TRK98700702"/>
    <n v="8"/>
    <s v="FREESHIP"/>
    <s v="Instagram"/>
    <n v="2042.8"/>
  </r>
  <r>
    <x v="358"/>
    <n v="45389"/>
    <s v="C70633"/>
    <x v="2"/>
    <x v="1"/>
    <x v="358"/>
    <x v="300"/>
    <x v="1"/>
    <s v="Cancelled"/>
    <s v="TRK82540521"/>
    <n v="3"/>
    <s v="SAVE10"/>
    <s v="Google"/>
    <n v="367.34"/>
  </r>
  <r>
    <x v="359"/>
    <n v="45086"/>
    <s v="C95643"/>
    <x v="6"/>
    <x v="3"/>
    <x v="359"/>
    <x v="301"/>
    <x v="0"/>
    <s v="Delivered"/>
    <s v="TRK23286689"/>
    <n v="5"/>
    <s v="WINTER15"/>
    <s v="Referral"/>
    <n v="2426.28"/>
  </r>
  <r>
    <x v="360"/>
    <n v="45449"/>
    <s v="C53810"/>
    <x v="1"/>
    <x v="3"/>
    <x v="360"/>
    <x v="302"/>
    <x v="4"/>
    <s v="Pending"/>
    <s v="TRK34630612"/>
    <n v="8"/>
    <s v="N/A"/>
    <s v="Instagram"/>
    <n v="2358.28"/>
  </r>
  <r>
    <x v="361"/>
    <n v="45472"/>
    <s v="C53464"/>
    <x v="4"/>
    <x v="0"/>
    <x v="361"/>
    <x v="303"/>
    <x v="2"/>
    <s v="Delivered"/>
    <s v="TRK32743531"/>
    <n v="9"/>
    <s v="SAVE10"/>
    <s v="Facebook"/>
    <n v="3299.25"/>
  </r>
  <r>
    <x v="362"/>
    <n v="45104"/>
    <s v="C53697"/>
    <x v="0"/>
    <x v="3"/>
    <x v="362"/>
    <x v="304"/>
    <x v="4"/>
    <s v="Cancelled"/>
    <s v="TRK60476656"/>
    <n v="5"/>
    <s v="WINTER15"/>
    <s v="Instagram"/>
    <n v="827.36"/>
  </r>
  <r>
    <x v="363"/>
    <n v="45436"/>
    <s v="C31668"/>
    <x v="5"/>
    <x v="0"/>
    <x v="363"/>
    <x v="42"/>
    <x v="2"/>
    <s v="Pending"/>
    <s v="TRK42584392"/>
    <n v="6"/>
    <s v="SAVE10"/>
    <s v="Email"/>
    <n v="569.35"/>
  </r>
  <r>
    <x v="364"/>
    <n v="45254"/>
    <s v="C85282"/>
    <x v="1"/>
    <x v="0"/>
    <x v="364"/>
    <x v="240"/>
    <x v="4"/>
    <s v="Cancelled"/>
    <s v="TRK86767206"/>
    <n v="9"/>
    <s v="FREESHIP"/>
    <s v="Facebook"/>
    <n v="3143.7"/>
  </r>
  <r>
    <x v="365"/>
    <n v="45702"/>
    <s v="C56796"/>
    <x v="1"/>
    <x v="2"/>
    <x v="365"/>
    <x v="276"/>
    <x v="2"/>
    <s v="Cancelled"/>
    <s v="TRK74263180"/>
    <n v="4"/>
    <s v="SAVE10"/>
    <s v="Referral"/>
    <n v="678.38"/>
  </r>
  <r>
    <x v="366"/>
    <n v="44967"/>
    <s v="C95213"/>
    <x v="4"/>
    <x v="4"/>
    <x v="366"/>
    <x v="305"/>
    <x v="0"/>
    <s v="Pending"/>
    <s v="TRK40630538"/>
    <n v="8"/>
    <s v="N/A"/>
    <s v="Referral"/>
    <n v="1806.72"/>
  </r>
  <r>
    <x v="367"/>
    <n v="45407"/>
    <s v="C13108"/>
    <x v="5"/>
    <x v="0"/>
    <x v="367"/>
    <x v="220"/>
    <x v="3"/>
    <s v="Pending"/>
    <s v="TRK82284400"/>
    <n v="10"/>
    <s v="FREESHIP"/>
    <s v="Instagram"/>
    <n v="3293.85"/>
  </r>
  <r>
    <x v="368"/>
    <n v="45047"/>
    <s v="C85322"/>
    <x v="0"/>
    <x v="4"/>
    <x v="368"/>
    <x v="306"/>
    <x v="2"/>
    <s v="Cancelled"/>
    <s v="TRK89728869"/>
    <n v="6"/>
    <s v="N/A"/>
    <s v="Google"/>
    <n v="813.06"/>
  </r>
  <r>
    <x v="369"/>
    <n v="45648"/>
    <s v="C43545"/>
    <x v="0"/>
    <x v="0"/>
    <x v="369"/>
    <x v="307"/>
    <x v="3"/>
    <s v="Pending"/>
    <s v="TRK73937402"/>
    <n v="9"/>
    <s v="SAVE10"/>
    <s v="Email"/>
    <n v="1876.25"/>
  </r>
  <r>
    <x v="370"/>
    <n v="45780"/>
    <s v="C80649"/>
    <x v="1"/>
    <x v="2"/>
    <x v="370"/>
    <x v="308"/>
    <x v="1"/>
    <s v="Cancelled"/>
    <s v="TRK41143313"/>
    <n v="4"/>
    <s v="WINTER15"/>
    <s v="Facebook"/>
    <n v="312.11"/>
  </r>
  <r>
    <x v="371"/>
    <n v="44931"/>
    <s v="C59752"/>
    <x v="1"/>
    <x v="0"/>
    <x v="371"/>
    <x v="12"/>
    <x v="3"/>
    <s v="Pending"/>
    <s v="TRK82229639"/>
    <n v="9"/>
    <s v="FREESHIP"/>
    <s v="Google"/>
    <n v="1538.8"/>
  </r>
  <r>
    <x v="372"/>
    <n v="45702"/>
    <s v="C53645"/>
    <x v="3"/>
    <x v="4"/>
    <x v="372"/>
    <x v="309"/>
    <x v="4"/>
    <s v="Returned"/>
    <s v="TRK12123939"/>
    <n v="4"/>
    <s v="N/A"/>
    <s v="Referral"/>
    <n v="1450.59"/>
  </r>
  <r>
    <x v="373"/>
    <n v="44928"/>
    <s v="C60178"/>
    <x v="5"/>
    <x v="4"/>
    <x v="373"/>
    <x v="310"/>
    <x v="4"/>
    <s v="Pending"/>
    <s v="TRK84505143"/>
    <n v="4"/>
    <s v="FREESHIP"/>
    <s v="Instagram"/>
    <n v="1023.45"/>
  </r>
  <r>
    <x v="374"/>
    <n v="45551"/>
    <s v="C20286"/>
    <x v="0"/>
    <x v="2"/>
    <x v="374"/>
    <x v="67"/>
    <x v="3"/>
    <s v="Pending"/>
    <s v="TRK67648338"/>
    <n v="1"/>
    <s v="WINTER15"/>
    <s v="Instagram"/>
    <n v="571.9"/>
  </r>
  <r>
    <x v="375"/>
    <n v="45673"/>
    <s v="C87547"/>
    <x v="0"/>
    <x v="3"/>
    <x v="375"/>
    <x v="311"/>
    <x v="1"/>
    <s v="Shipped"/>
    <s v="TRK71027262"/>
    <n v="8"/>
    <s v="FREESHIP"/>
    <s v="Facebook"/>
    <n v="380.12"/>
  </r>
  <r>
    <x v="376"/>
    <n v="45162"/>
    <s v="C64549"/>
    <x v="0"/>
    <x v="0"/>
    <x v="376"/>
    <x v="312"/>
    <x v="0"/>
    <s v="Pending"/>
    <s v="TRK20788231"/>
    <n v="6"/>
    <s v="FREESHIP"/>
    <s v="Facebook"/>
    <n v="1006.1"/>
  </r>
  <r>
    <x v="377"/>
    <n v="45495"/>
    <s v="C24884"/>
    <x v="0"/>
    <x v="2"/>
    <x v="377"/>
    <x v="261"/>
    <x v="1"/>
    <s v="Pending"/>
    <s v="TRK44538419"/>
    <n v="5"/>
    <s v="WINTER15"/>
    <s v="Instagram"/>
    <n v="260.26"/>
  </r>
  <r>
    <x v="378"/>
    <n v="45323"/>
    <s v="C62666"/>
    <x v="3"/>
    <x v="0"/>
    <x v="378"/>
    <x v="313"/>
    <x v="2"/>
    <s v="Pending"/>
    <s v="TRK91029390"/>
    <n v="8"/>
    <s v="WINTER15"/>
    <s v="Instagram"/>
    <n v="322.5"/>
  </r>
  <r>
    <x v="379"/>
    <n v="45556"/>
    <s v="C47284"/>
    <x v="1"/>
    <x v="4"/>
    <x v="379"/>
    <x v="161"/>
    <x v="1"/>
    <s v="Shipped"/>
    <s v="TRK85756094"/>
    <n v="6"/>
    <s v="N/A"/>
    <s v="Google"/>
    <n v="893.01"/>
  </r>
  <r>
    <x v="380"/>
    <n v="45402"/>
    <s v="C35355"/>
    <x v="4"/>
    <x v="3"/>
    <x v="380"/>
    <x v="230"/>
    <x v="4"/>
    <s v="Pending"/>
    <s v="TRK52935059"/>
    <n v="5"/>
    <s v="SAVE10"/>
    <s v="Instagram"/>
    <n v="1327.6"/>
  </r>
  <r>
    <x v="381"/>
    <n v="45084"/>
    <s v="C29467"/>
    <x v="3"/>
    <x v="2"/>
    <x v="381"/>
    <x v="44"/>
    <x v="2"/>
    <s v="Returned"/>
    <s v="TRK98103385"/>
    <n v="1"/>
    <s v="FREESHIP"/>
    <s v="Instagram"/>
    <n v="191.76"/>
  </r>
  <r>
    <x v="382"/>
    <n v="45687"/>
    <s v="C26718"/>
    <x v="4"/>
    <x v="3"/>
    <x v="382"/>
    <x v="314"/>
    <x v="0"/>
    <s v="Shipped"/>
    <s v="TRK91702525"/>
    <n v="8"/>
    <s v="SAVE10"/>
    <s v="Google"/>
    <n v="1052.36"/>
  </r>
  <r>
    <x v="383"/>
    <n v="44946"/>
    <s v="C18944"/>
    <x v="3"/>
    <x v="3"/>
    <x v="383"/>
    <x v="87"/>
    <x v="2"/>
    <s v="Pending"/>
    <s v="TRK45275439"/>
    <n v="7"/>
    <s v="SAVE10"/>
    <s v="Email"/>
    <n v="1575.2"/>
  </r>
  <r>
    <x v="384"/>
    <n v="45620"/>
    <s v="C35628"/>
    <x v="3"/>
    <x v="4"/>
    <x v="384"/>
    <x v="315"/>
    <x v="2"/>
    <s v="Returned"/>
    <s v="TRK45688220"/>
    <n v="4"/>
    <s v="FREESHIP"/>
    <s v="Facebook"/>
    <n v="1660.71"/>
  </r>
  <r>
    <x v="385"/>
    <n v="45230"/>
    <s v="C56851"/>
    <x v="3"/>
    <x v="0"/>
    <x v="385"/>
    <x v="60"/>
    <x v="3"/>
    <s v="Delivered"/>
    <s v="TRK65290904"/>
    <n v="6"/>
    <s v="FREESHIP"/>
    <s v="Facebook"/>
    <n v="958.15"/>
  </r>
  <r>
    <x v="386"/>
    <n v="45044"/>
    <s v="C12421"/>
    <x v="2"/>
    <x v="2"/>
    <x v="386"/>
    <x v="316"/>
    <x v="1"/>
    <s v="Returned"/>
    <s v="TRK32588504"/>
    <n v="4"/>
    <s v="N/A"/>
    <s v="Email"/>
    <n v="93.02"/>
  </r>
  <r>
    <x v="387"/>
    <n v="45470"/>
    <s v="C25316"/>
    <x v="4"/>
    <x v="1"/>
    <x v="387"/>
    <x v="8"/>
    <x v="2"/>
    <s v="Shipped"/>
    <s v="TRK55423551"/>
    <n v="3"/>
    <s v="WINTER15"/>
    <s v="Google"/>
    <n v="79.06"/>
  </r>
  <r>
    <x v="388"/>
    <n v="45288"/>
    <s v="C22657"/>
    <x v="4"/>
    <x v="4"/>
    <x v="388"/>
    <x v="94"/>
    <x v="4"/>
    <s v="Pending"/>
    <s v="TRK49157047"/>
    <n v="7"/>
    <s v="WINTER15"/>
    <s v="Facebook"/>
    <n v="1901.91"/>
  </r>
  <r>
    <x v="389"/>
    <n v="45277"/>
    <s v="C29703"/>
    <x v="6"/>
    <x v="3"/>
    <x v="389"/>
    <x v="317"/>
    <x v="4"/>
    <s v="Shipped"/>
    <s v="TRK40543461"/>
    <n v="7"/>
    <s v="FREESHIP"/>
    <s v="Referral"/>
    <n v="2790"/>
  </r>
  <r>
    <x v="390"/>
    <n v="45121"/>
    <s v="C55996"/>
    <x v="4"/>
    <x v="0"/>
    <x v="390"/>
    <x v="291"/>
    <x v="4"/>
    <s v="Delivered"/>
    <s v="TRK30547638"/>
    <n v="10"/>
    <s v="FREESHIP"/>
    <s v="Google"/>
    <n v="2543.45"/>
  </r>
  <r>
    <x v="391"/>
    <n v="45673"/>
    <s v="C60037"/>
    <x v="5"/>
    <x v="1"/>
    <x v="391"/>
    <x v="244"/>
    <x v="0"/>
    <s v="Cancelled"/>
    <s v="TRK82009557"/>
    <n v="3"/>
    <s v="FREESHIP"/>
    <s v="Referral"/>
    <n v="1054.92"/>
  </r>
  <r>
    <x v="392"/>
    <n v="45350"/>
    <s v="C95100"/>
    <x v="1"/>
    <x v="2"/>
    <x v="392"/>
    <x v="303"/>
    <x v="1"/>
    <s v="Delivered"/>
    <s v="TRK47366265"/>
    <n v="1"/>
    <s v="WINTER15"/>
    <s v="Email"/>
    <n v="627.2"/>
  </r>
  <r>
    <x v="393"/>
    <n v="45487"/>
    <s v="C39906"/>
    <x v="4"/>
    <x v="2"/>
    <x v="393"/>
    <x v="318"/>
    <x v="2"/>
    <s v="Returned"/>
    <s v="TRK24632134"/>
    <n v="3"/>
    <s v="N/A"/>
    <s v="Google"/>
    <n v="75.01"/>
  </r>
  <r>
    <x v="394"/>
    <n v="45112"/>
    <s v="C70148"/>
    <x v="6"/>
    <x v="0"/>
    <x v="394"/>
    <x v="319"/>
    <x v="3"/>
    <s v="Shipped"/>
    <s v="TRK34848650"/>
    <n v="10"/>
    <s v="N/A"/>
    <s v="Facebook"/>
    <n v="2647.75"/>
  </r>
  <r>
    <x v="395"/>
    <n v="45772"/>
    <s v="C30010"/>
    <x v="1"/>
    <x v="4"/>
    <x v="395"/>
    <x v="32"/>
    <x v="3"/>
    <s v="Delivered"/>
    <s v="TRK35386084"/>
    <n v="7"/>
    <s v="SAVE10"/>
    <s v="Referral"/>
    <n v="382.23"/>
  </r>
  <r>
    <x v="396"/>
    <n v="45261"/>
    <s v="C99217"/>
    <x v="2"/>
    <x v="0"/>
    <x v="396"/>
    <x v="320"/>
    <x v="1"/>
    <s v="Shipped"/>
    <s v="TRK82004594"/>
    <n v="10"/>
    <s v="SAVE10"/>
    <s v="Email"/>
    <n v="1435.65"/>
  </r>
  <r>
    <x v="397"/>
    <n v="45197"/>
    <s v="C30184"/>
    <x v="0"/>
    <x v="2"/>
    <x v="397"/>
    <x v="321"/>
    <x v="1"/>
    <s v="Cancelled"/>
    <s v="TRK86674704"/>
    <n v="1"/>
    <s v="WINTER15"/>
    <s v="Referral"/>
    <n v="427.06"/>
  </r>
  <r>
    <x v="398"/>
    <n v="45539"/>
    <s v="C50275"/>
    <x v="1"/>
    <x v="0"/>
    <x v="398"/>
    <x v="182"/>
    <x v="3"/>
    <s v="Shipped"/>
    <s v="TRK98925264"/>
    <n v="7"/>
    <s v="SAVE10"/>
    <s v="Instagram"/>
    <n v="269.65"/>
  </r>
  <r>
    <x v="399"/>
    <n v="45298"/>
    <s v="C64641"/>
    <x v="2"/>
    <x v="0"/>
    <x v="399"/>
    <x v="322"/>
    <x v="0"/>
    <s v="Returned"/>
    <s v="TRK32012588"/>
    <n v="5"/>
    <s v="FREESHIP"/>
    <s v="Facebook"/>
    <n v="2119.65"/>
  </r>
  <r>
    <x v="400"/>
    <n v="45563"/>
    <s v="C56266"/>
    <x v="6"/>
    <x v="3"/>
    <x v="400"/>
    <x v="323"/>
    <x v="0"/>
    <s v="Returned"/>
    <s v="TRK60088901"/>
    <n v="9"/>
    <s v="WINTER15"/>
    <s v="Instagram"/>
    <n v="640.88"/>
  </r>
  <r>
    <x v="401"/>
    <n v="45756"/>
    <s v="C98635"/>
    <x v="4"/>
    <x v="2"/>
    <x v="401"/>
    <x v="303"/>
    <x v="0"/>
    <s v="Returned"/>
    <s v="TRK14225465"/>
    <n v="6"/>
    <s v="N/A"/>
    <s v="Referral"/>
    <n v="538.68"/>
  </r>
  <r>
    <x v="402"/>
    <n v="45025"/>
    <s v="C83026"/>
    <x v="4"/>
    <x v="0"/>
    <x v="402"/>
    <x v="324"/>
    <x v="3"/>
    <s v="Shipped"/>
    <s v="TRK79746259"/>
    <n v="5"/>
    <s v="N/A"/>
    <s v="Referral"/>
    <n v="1686.9"/>
  </r>
  <r>
    <x v="403"/>
    <n v="45606"/>
    <s v="C28893"/>
    <x v="2"/>
    <x v="2"/>
    <x v="403"/>
    <x v="240"/>
    <x v="1"/>
    <s v="Returned"/>
    <s v="TRK98333066"/>
    <n v="1"/>
    <s v="FREESHIP"/>
    <s v="Referral"/>
    <n v="620.21"/>
  </r>
  <r>
    <x v="404"/>
    <n v="44994"/>
    <s v="C45482"/>
    <x v="0"/>
    <x v="1"/>
    <x v="404"/>
    <x v="63"/>
    <x v="4"/>
    <s v="Delivered"/>
    <s v="TRK54571699"/>
    <n v="6"/>
    <s v="N/A"/>
    <s v="Instagram"/>
    <n v="198.2"/>
  </r>
  <r>
    <x v="405"/>
    <n v="45683"/>
    <s v="C97774"/>
    <x v="0"/>
    <x v="3"/>
    <x v="405"/>
    <x v="305"/>
    <x v="1"/>
    <s v="Cancelled"/>
    <s v="TRK64664424"/>
    <n v="7"/>
    <s v="WINTER15"/>
    <s v="Email"/>
    <n v="1807.88"/>
  </r>
  <r>
    <x v="406"/>
    <n v="45270"/>
    <s v="C11657"/>
    <x v="2"/>
    <x v="3"/>
    <x v="406"/>
    <x v="167"/>
    <x v="4"/>
    <s v="Returned"/>
    <s v="TRK50284486"/>
    <n v="9"/>
    <s v="WINTER15"/>
    <s v="Google"/>
    <n v="264.4"/>
  </r>
  <r>
    <x v="407"/>
    <n v="45151"/>
    <s v="C85993"/>
    <x v="2"/>
    <x v="3"/>
    <x v="407"/>
    <x v="224"/>
    <x v="4"/>
    <s v="Returned"/>
    <s v="TRK72547640"/>
    <n v="8"/>
    <s v="FREESHIP"/>
    <s v="Instagram"/>
    <n v="2189.28"/>
  </r>
  <r>
    <x v="408"/>
    <n v="45658"/>
    <s v="C11906"/>
    <x v="4"/>
    <x v="4"/>
    <x v="408"/>
    <x v="325"/>
    <x v="1"/>
    <s v="Pending"/>
    <s v="TRK31140158"/>
    <n v="6"/>
    <s v="WINTER15"/>
    <s v="Google"/>
    <n v="1237.59"/>
  </r>
  <r>
    <x v="409"/>
    <n v="45105"/>
    <s v="C45187"/>
    <x v="6"/>
    <x v="0"/>
    <x v="409"/>
    <x v="326"/>
    <x v="1"/>
    <s v="Delivered"/>
    <s v="TRK12320793"/>
    <n v="9"/>
    <s v="SAVE10"/>
    <s v="Google"/>
    <n v="420.65"/>
  </r>
  <r>
    <x v="410"/>
    <n v="45309"/>
    <s v="C37375"/>
    <x v="2"/>
    <x v="1"/>
    <x v="410"/>
    <x v="327"/>
    <x v="0"/>
    <s v="Shipped"/>
    <s v="TRK52470162"/>
    <n v="5"/>
    <s v="N/A"/>
    <s v="Email"/>
    <n v="1036.46"/>
  </r>
  <r>
    <x v="411"/>
    <n v="45462"/>
    <s v="C66567"/>
    <x v="6"/>
    <x v="1"/>
    <x v="411"/>
    <x v="139"/>
    <x v="1"/>
    <s v="Shipped"/>
    <s v="TRK21174822"/>
    <n v="5"/>
    <s v="N/A"/>
    <s v="Facebook"/>
    <n v="79.02"/>
  </r>
  <r>
    <x v="412"/>
    <n v="45758"/>
    <s v="C42451"/>
    <x v="2"/>
    <x v="0"/>
    <x v="412"/>
    <x v="328"/>
    <x v="2"/>
    <s v="Returned"/>
    <s v="TRK31313343"/>
    <n v="10"/>
    <s v="N/A"/>
    <s v="Facebook"/>
    <n v="665.05"/>
  </r>
  <r>
    <x v="413"/>
    <n v="45207"/>
    <s v="C13923"/>
    <x v="2"/>
    <x v="2"/>
    <x v="413"/>
    <x v="329"/>
    <x v="1"/>
    <s v="Delivered"/>
    <s v="TRK87598790"/>
    <n v="6"/>
    <s v="SAVE10"/>
    <s v="Email"/>
    <n v="118.8"/>
  </r>
  <r>
    <x v="414"/>
    <n v="45781"/>
    <s v="C11829"/>
    <x v="6"/>
    <x v="1"/>
    <x v="414"/>
    <x v="330"/>
    <x v="4"/>
    <s v="Delivered"/>
    <s v="TRK84229257"/>
    <n v="4"/>
    <s v="WINTER15"/>
    <s v="Facebook"/>
    <n v="279.14"/>
  </r>
  <r>
    <x v="415"/>
    <n v="45753"/>
    <s v="C62169"/>
    <x v="3"/>
    <x v="2"/>
    <x v="415"/>
    <x v="229"/>
    <x v="3"/>
    <s v="Shipped"/>
    <s v="TRK64558985"/>
    <n v="5"/>
    <s v="FREESHIP"/>
    <s v="Facebook"/>
    <n v="184.15"/>
  </r>
  <r>
    <x v="416"/>
    <n v="45125"/>
    <s v="C20881"/>
    <x v="5"/>
    <x v="1"/>
    <x v="416"/>
    <x v="331"/>
    <x v="3"/>
    <s v="Cancelled"/>
    <s v="TRK26263902"/>
    <n v="5"/>
    <s v="WINTER15"/>
    <s v="Referral"/>
    <n v="1288.1"/>
  </r>
  <r>
    <x v="417"/>
    <n v="45223"/>
    <s v="C44492"/>
    <x v="5"/>
    <x v="0"/>
    <x v="417"/>
    <x v="332"/>
    <x v="1"/>
    <s v="Cancelled"/>
    <s v="TRK51429869"/>
    <n v="5"/>
    <s v="N/A"/>
    <s v="Google"/>
    <n v="277.05"/>
  </r>
  <r>
    <x v="418"/>
    <n v="44937"/>
    <s v="C74169"/>
    <x v="4"/>
    <x v="2"/>
    <x v="418"/>
    <x v="333"/>
    <x v="1"/>
    <s v="Cancelled"/>
    <s v="TRK66144809"/>
    <n v="3"/>
    <s v="N/A"/>
    <s v="Facebook"/>
    <n v="310.93"/>
  </r>
  <r>
    <x v="419"/>
    <n v="45399"/>
    <s v="C70999"/>
    <x v="2"/>
    <x v="1"/>
    <x v="419"/>
    <x v="291"/>
    <x v="0"/>
    <s v="Pending"/>
    <s v="TRK75644156"/>
    <n v="6"/>
    <s v="FREESHIP"/>
    <s v="Instagram"/>
    <n v="433.32"/>
  </r>
  <r>
    <x v="420"/>
    <n v="45625"/>
    <s v="C11921"/>
    <x v="1"/>
    <x v="2"/>
    <x v="420"/>
    <x v="334"/>
    <x v="0"/>
    <s v="Shipped"/>
    <s v="TRK91362635"/>
    <n v="5"/>
    <s v="FREESHIP"/>
    <s v="Instagram"/>
    <n v="452.7"/>
  </r>
  <r>
    <x v="421"/>
    <n v="45214"/>
    <s v="C50683"/>
    <x v="3"/>
    <x v="1"/>
    <x v="421"/>
    <x v="335"/>
    <x v="0"/>
    <s v="Cancelled"/>
    <s v="TRK53032122"/>
    <n v="5"/>
    <s v="N/A"/>
    <s v="Email"/>
    <n v="576.42"/>
  </r>
  <r>
    <x v="422"/>
    <n v="45082"/>
    <s v="C76140"/>
    <x v="1"/>
    <x v="3"/>
    <x v="422"/>
    <x v="16"/>
    <x v="3"/>
    <s v="Returned"/>
    <s v="TRK25861469"/>
    <n v="6"/>
    <s v="WINTER15"/>
    <s v="Referral"/>
    <n v="826.4"/>
  </r>
  <r>
    <x v="423"/>
    <n v="45493"/>
    <s v="C94311"/>
    <x v="4"/>
    <x v="3"/>
    <x v="423"/>
    <x v="241"/>
    <x v="3"/>
    <s v="Cancelled"/>
    <s v="TRK97308771"/>
    <n v="6"/>
    <s v="WINTER15"/>
    <s v="Google"/>
    <n v="2740.8"/>
  </r>
  <r>
    <x v="424"/>
    <n v="45028"/>
    <s v="C49491"/>
    <x v="3"/>
    <x v="0"/>
    <x v="424"/>
    <x v="268"/>
    <x v="4"/>
    <s v="Pending"/>
    <s v="TRK64012257"/>
    <n v="10"/>
    <s v="N/A"/>
    <s v="Email"/>
    <n v="114.7"/>
  </r>
  <r>
    <x v="425"/>
    <n v="44994"/>
    <s v="C40648"/>
    <x v="5"/>
    <x v="1"/>
    <x v="425"/>
    <x v="336"/>
    <x v="3"/>
    <s v="Returned"/>
    <s v="TRK25325993"/>
    <n v="5"/>
    <s v="WINTER15"/>
    <s v="Email"/>
    <n v="603.76"/>
  </r>
  <r>
    <x v="426"/>
    <n v="45732"/>
    <s v="C40967"/>
    <x v="0"/>
    <x v="0"/>
    <x v="426"/>
    <x v="337"/>
    <x v="4"/>
    <s v="Cancelled"/>
    <s v="TRK24839296"/>
    <n v="10"/>
    <s v="N/A"/>
    <s v="Facebook"/>
    <n v="287.25"/>
  </r>
  <r>
    <x v="427"/>
    <n v="45644"/>
    <s v="C25406"/>
    <x v="6"/>
    <x v="2"/>
    <x v="427"/>
    <x v="338"/>
    <x v="2"/>
    <s v="Pending"/>
    <s v="TRK70952564"/>
    <n v="3"/>
    <s v="WINTER15"/>
    <s v="Instagram"/>
    <n v="161.24"/>
  </r>
  <r>
    <x v="428"/>
    <n v="45622"/>
    <s v="C77085"/>
    <x v="3"/>
    <x v="3"/>
    <x v="428"/>
    <x v="30"/>
    <x v="1"/>
    <s v="Cancelled"/>
    <s v="TRK57227640"/>
    <n v="8"/>
    <s v="WINTER15"/>
    <s v="Email"/>
    <n v="1050.32"/>
  </r>
  <r>
    <x v="429"/>
    <n v="45645"/>
    <s v="C38126"/>
    <x v="4"/>
    <x v="3"/>
    <x v="429"/>
    <x v="101"/>
    <x v="2"/>
    <s v="Pending"/>
    <s v="TRK90838498"/>
    <n v="9"/>
    <s v="SAVE10"/>
    <s v="Facebook"/>
    <n v="2060.76"/>
  </r>
  <r>
    <x v="430"/>
    <n v="45084"/>
    <s v="C87448"/>
    <x v="1"/>
    <x v="2"/>
    <x v="430"/>
    <x v="339"/>
    <x v="3"/>
    <s v="Shipped"/>
    <s v="TRK44134016"/>
    <n v="6"/>
    <s v="FREESHIP"/>
    <s v="Google"/>
    <n v="450.07"/>
  </r>
  <r>
    <x v="431"/>
    <n v="45571"/>
    <s v="C62312"/>
    <x v="4"/>
    <x v="2"/>
    <x v="431"/>
    <x v="143"/>
    <x v="0"/>
    <s v="Cancelled"/>
    <s v="TRK59623037"/>
    <n v="6"/>
    <s v="WINTER15"/>
    <s v="Facebook"/>
    <n v="52.54"/>
  </r>
  <r>
    <x v="432"/>
    <n v="45173"/>
    <s v="C58443"/>
    <x v="2"/>
    <x v="1"/>
    <x v="432"/>
    <x v="340"/>
    <x v="2"/>
    <s v="Returned"/>
    <s v="TRK77163738"/>
    <n v="6"/>
    <s v="N/A"/>
    <s v="Referral"/>
    <n v="848.64"/>
  </r>
  <r>
    <x v="433"/>
    <n v="45164"/>
    <s v="C36613"/>
    <x v="0"/>
    <x v="4"/>
    <x v="433"/>
    <x v="214"/>
    <x v="2"/>
    <s v="Returned"/>
    <s v="TRK13282106"/>
    <n v="3"/>
    <s v="FREESHIP"/>
    <s v="Facebook"/>
    <n v="1894.92"/>
  </r>
  <r>
    <x v="434"/>
    <n v="45221"/>
    <s v="C73893"/>
    <x v="4"/>
    <x v="0"/>
    <x v="434"/>
    <x v="65"/>
    <x v="2"/>
    <s v="Returned"/>
    <s v="TRK85939879"/>
    <n v="6"/>
    <s v="N/A"/>
    <s v="Facebook"/>
    <n v="1638.4"/>
  </r>
  <r>
    <x v="435"/>
    <n v="45073"/>
    <s v="C48601"/>
    <x v="4"/>
    <x v="2"/>
    <x v="435"/>
    <x v="267"/>
    <x v="0"/>
    <s v="Returned"/>
    <s v="TRK97868309"/>
    <n v="3"/>
    <s v="FREESHIP"/>
    <s v="Instagram"/>
    <n v="414.47"/>
  </r>
  <r>
    <x v="436"/>
    <n v="44968"/>
    <s v="C14568"/>
    <x v="5"/>
    <x v="3"/>
    <x v="436"/>
    <x v="143"/>
    <x v="1"/>
    <s v="Pending"/>
    <s v="TRK73545796"/>
    <n v="5"/>
    <s v="N/A"/>
    <s v="Google"/>
    <n v="885.32"/>
  </r>
  <r>
    <x v="437"/>
    <n v="45400"/>
    <s v="C63378"/>
    <x v="1"/>
    <x v="2"/>
    <x v="437"/>
    <x v="341"/>
    <x v="1"/>
    <s v="Delivered"/>
    <s v="TRK20863705"/>
    <n v="2"/>
    <s v="FREESHIP"/>
    <s v="Instagram"/>
    <n v="512.39"/>
  </r>
  <r>
    <x v="438"/>
    <n v="45660"/>
    <s v="C77800"/>
    <x v="2"/>
    <x v="4"/>
    <x v="438"/>
    <x v="342"/>
    <x v="3"/>
    <s v="Pending"/>
    <s v="TRK27439574"/>
    <n v="3"/>
    <s v="SAVE10"/>
    <s v="Instagram"/>
    <n v="1378.02"/>
  </r>
  <r>
    <x v="439"/>
    <n v="45543"/>
    <s v="C91155"/>
    <x v="2"/>
    <x v="2"/>
    <x v="439"/>
    <x v="343"/>
    <x v="1"/>
    <s v="Shipped"/>
    <s v="TRK36260319"/>
    <n v="4"/>
    <s v="WINTER15"/>
    <s v="Facebook"/>
    <n v="146.32"/>
  </r>
  <r>
    <x v="440"/>
    <n v="45601"/>
    <s v="C60215"/>
    <x v="6"/>
    <x v="3"/>
    <x v="440"/>
    <x v="264"/>
    <x v="0"/>
    <s v="Pending"/>
    <s v="TRK31727767"/>
    <n v="4"/>
    <s v="SAVE10"/>
    <s v="Facebook"/>
    <n v="334.4"/>
  </r>
  <r>
    <x v="441"/>
    <n v="45273"/>
    <s v="C52915"/>
    <x v="4"/>
    <x v="1"/>
    <x v="441"/>
    <x v="344"/>
    <x v="3"/>
    <s v="Returned"/>
    <s v="TRK79466982"/>
    <n v="6"/>
    <s v="FREESHIP"/>
    <s v="Email"/>
    <n v="657.08"/>
  </r>
  <r>
    <x v="442"/>
    <n v="45418"/>
    <s v="C72588"/>
    <x v="3"/>
    <x v="0"/>
    <x v="442"/>
    <x v="345"/>
    <x v="4"/>
    <s v="Pending"/>
    <s v="TRK43410829"/>
    <n v="8"/>
    <s v="SAVE10"/>
    <s v="Instagram"/>
    <n v="1574.7"/>
  </r>
  <r>
    <x v="443"/>
    <n v="45426"/>
    <s v="C61668"/>
    <x v="3"/>
    <x v="1"/>
    <x v="443"/>
    <x v="59"/>
    <x v="4"/>
    <s v="Returned"/>
    <s v="TRK58970302"/>
    <n v="6"/>
    <s v="N/A"/>
    <s v="Facebook"/>
    <n v="139.28"/>
  </r>
  <r>
    <x v="444"/>
    <n v="45451"/>
    <s v="C79508"/>
    <x v="4"/>
    <x v="2"/>
    <x v="444"/>
    <x v="346"/>
    <x v="1"/>
    <s v="Shipped"/>
    <s v="TRK61882353"/>
    <n v="6"/>
    <s v="FREESHIP"/>
    <s v="Instagram"/>
    <n v="135.17"/>
  </r>
  <r>
    <x v="445"/>
    <n v="45374"/>
    <s v="C94569"/>
    <x v="1"/>
    <x v="2"/>
    <x v="445"/>
    <x v="347"/>
    <x v="4"/>
    <s v="Delivered"/>
    <s v="TRK31351770"/>
    <n v="3"/>
    <s v="SAVE10"/>
    <s v="Referral"/>
    <n v="487.21"/>
  </r>
  <r>
    <x v="446"/>
    <n v="45217"/>
    <s v="C89592"/>
    <x v="5"/>
    <x v="0"/>
    <x v="446"/>
    <x v="348"/>
    <x v="1"/>
    <s v="Delivered"/>
    <s v="TRK49442402"/>
    <n v="6"/>
    <s v="FREESHIP"/>
    <s v="Instagram"/>
    <n v="2547.9"/>
  </r>
  <r>
    <x v="447"/>
    <n v="45389"/>
    <s v="C48207"/>
    <x v="4"/>
    <x v="1"/>
    <x v="447"/>
    <x v="349"/>
    <x v="4"/>
    <s v="Returned"/>
    <s v="TRK45355655"/>
    <n v="2"/>
    <s v="N/A"/>
    <s v="Facebook"/>
    <n v="833.62"/>
  </r>
  <r>
    <x v="448"/>
    <n v="45173"/>
    <s v="C16776"/>
    <x v="5"/>
    <x v="1"/>
    <x v="448"/>
    <x v="350"/>
    <x v="4"/>
    <s v="Pending"/>
    <s v="TRK12860600"/>
    <n v="4"/>
    <s v="SAVE10"/>
    <s v="Instagram"/>
    <n v="320"/>
  </r>
  <r>
    <x v="449"/>
    <n v="45530"/>
    <s v="C91518"/>
    <x v="2"/>
    <x v="4"/>
    <x v="449"/>
    <x v="351"/>
    <x v="1"/>
    <s v="Pending"/>
    <s v="TRK48688724"/>
    <n v="3"/>
    <s v="N/A"/>
    <s v="Instagram"/>
    <n v="759.15"/>
  </r>
  <r>
    <x v="450"/>
    <n v="45306"/>
    <s v="C36408"/>
    <x v="0"/>
    <x v="0"/>
    <x v="450"/>
    <x v="352"/>
    <x v="3"/>
    <s v="Returned"/>
    <s v="TRK94023253"/>
    <n v="10"/>
    <s v="WINTER15"/>
    <s v="Instagram"/>
    <n v="3075.5"/>
  </r>
  <r>
    <x v="451"/>
    <n v="45017"/>
    <s v="C14837"/>
    <x v="0"/>
    <x v="2"/>
    <x v="451"/>
    <x v="97"/>
    <x v="0"/>
    <s v="Cancelled"/>
    <s v="TRK17501136"/>
    <n v="6"/>
    <s v="SAVE10"/>
    <s v="Email"/>
    <n v="183.18"/>
  </r>
  <r>
    <x v="452"/>
    <n v="45130"/>
    <s v="C36467"/>
    <x v="4"/>
    <x v="2"/>
    <x v="452"/>
    <x v="353"/>
    <x v="4"/>
    <s v="Pending"/>
    <s v="TRK20863987"/>
    <n v="5"/>
    <s v="SAVE10"/>
    <s v="Google"/>
    <n v="75.78"/>
  </r>
  <r>
    <x v="453"/>
    <n v="45779"/>
    <s v="C15017"/>
    <x v="2"/>
    <x v="2"/>
    <x v="453"/>
    <x v="354"/>
    <x v="4"/>
    <s v="Shipped"/>
    <s v="TRK51241924"/>
    <n v="1"/>
    <s v="WINTER15"/>
    <s v="Facebook"/>
    <n v="675.57"/>
  </r>
  <r>
    <x v="454"/>
    <n v="45623"/>
    <s v="C54759"/>
    <x v="5"/>
    <x v="2"/>
    <x v="454"/>
    <x v="355"/>
    <x v="0"/>
    <s v="Cancelled"/>
    <s v="TRK75583042"/>
    <n v="5"/>
    <s v="FREESHIP"/>
    <s v="Google"/>
    <n v="109.29"/>
  </r>
  <r>
    <x v="455"/>
    <n v="45377"/>
    <s v="C58341"/>
    <x v="1"/>
    <x v="2"/>
    <x v="455"/>
    <x v="356"/>
    <x v="0"/>
    <s v="Pending"/>
    <s v="TRK32856728"/>
    <n v="2"/>
    <s v="SAVE10"/>
    <s v="Referral"/>
    <n v="639.83"/>
  </r>
  <r>
    <x v="456"/>
    <n v="45103"/>
    <s v="C94479"/>
    <x v="6"/>
    <x v="0"/>
    <x v="456"/>
    <x v="288"/>
    <x v="2"/>
    <s v="Shipped"/>
    <s v="TRK69089975"/>
    <n v="9"/>
    <s v="SAVE10"/>
    <s v="Facebook"/>
    <n v="314.05"/>
  </r>
  <r>
    <x v="457"/>
    <n v="45802"/>
    <s v="C50236"/>
    <x v="6"/>
    <x v="3"/>
    <x v="457"/>
    <x v="357"/>
    <x v="1"/>
    <s v="Returned"/>
    <s v="TRK67692578"/>
    <n v="4"/>
    <s v="WINTER15"/>
    <s v="Instagram"/>
    <n v="2463.32"/>
  </r>
  <r>
    <x v="458"/>
    <n v="45475"/>
    <s v="C31412"/>
    <x v="0"/>
    <x v="3"/>
    <x v="458"/>
    <x v="85"/>
    <x v="2"/>
    <s v="Returned"/>
    <s v="TRK61946127"/>
    <n v="7"/>
    <s v="WINTER15"/>
    <s v="Email"/>
    <n v="2042.32"/>
  </r>
  <r>
    <x v="459"/>
    <n v="45497"/>
    <s v="C90142"/>
    <x v="6"/>
    <x v="2"/>
    <x v="459"/>
    <x v="339"/>
    <x v="2"/>
    <s v="Returned"/>
    <s v="TRK39717191"/>
    <n v="2"/>
    <s v="N/A"/>
    <s v="Instagram"/>
    <n v="334.39"/>
  </r>
  <r>
    <x v="460"/>
    <n v="45571"/>
    <s v="C83548"/>
    <x v="5"/>
    <x v="2"/>
    <x v="460"/>
    <x v="358"/>
    <x v="4"/>
    <s v="Returned"/>
    <s v="TRK93822942"/>
    <n v="2"/>
    <s v="WINTER15"/>
    <s v="Referral"/>
    <n v="144.25"/>
  </r>
  <r>
    <x v="461"/>
    <n v="45451"/>
    <s v="C29697"/>
    <x v="2"/>
    <x v="2"/>
    <x v="461"/>
    <x v="208"/>
    <x v="2"/>
    <s v="Shipped"/>
    <s v="TRK47776482"/>
    <n v="5"/>
    <s v="FREESHIP"/>
    <s v="Google"/>
    <n v="401.82"/>
  </r>
  <r>
    <x v="462"/>
    <n v="45747"/>
    <s v="C22991"/>
    <x v="1"/>
    <x v="2"/>
    <x v="462"/>
    <x v="359"/>
    <x v="1"/>
    <s v="Cancelled"/>
    <s v="TRK32796086"/>
    <n v="1"/>
    <s v="N/A"/>
    <s v="Referral"/>
    <n v="252.68"/>
  </r>
  <r>
    <x v="463"/>
    <n v="45072"/>
    <s v="C25276"/>
    <x v="5"/>
    <x v="0"/>
    <x v="463"/>
    <x v="360"/>
    <x v="0"/>
    <s v="Shipped"/>
    <s v="TRK14011732"/>
    <n v="9"/>
    <s v="SAVE10"/>
    <s v="Instagram"/>
    <n v="3313.9"/>
  </r>
  <r>
    <x v="464"/>
    <n v="44999"/>
    <s v="C39176"/>
    <x v="2"/>
    <x v="3"/>
    <x v="464"/>
    <x v="361"/>
    <x v="1"/>
    <s v="Cancelled"/>
    <s v="TRK71418686"/>
    <n v="6"/>
    <s v="FREESHIP"/>
    <s v="Google"/>
    <n v="1737.68"/>
  </r>
  <r>
    <x v="465"/>
    <n v="45348"/>
    <s v="C58773"/>
    <x v="4"/>
    <x v="0"/>
    <x v="465"/>
    <x v="362"/>
    <x v="3"/>
    <s v="Cancelled"/>
    <s v="TRK65438300"/>
    <n v="8"/>
    <s v="N/A"/>
    <s v="Google"/>
    <n v="2567.45"/>
  </r>
  <r>
    <x v="466"/>
    <n v="45125"/>
    <s v="C37412"/>
    <x v="1"/>
    <x v="2"/>
    <x v="466"/>
    <x v="30"/>
    <x v="4"/>
    <s v="Delivered"/>
    <s v="TRK97829604"/>
    <n v="4"/>
    <s v="FREESHIP"/>
    <s v="Referral"/>
    <n v="432.47"/>
  </r>
  <r>
    <x v="467"/>
    <n v="45534"/>
    <s v="C36492"/>
    <x v="6"/>
    <x v="2"/>
    <x v="467"/>
    <x v="167"/>
    <x v="4"/>
    <s v="Cancelled"/>
    <s v="TRK44350440"/>
    <n v="2"/>
    <s v="WINTER15"/>
    <s v="Email"/>
    <n v="45.94"/>
  </r>
  <r>
    <x v="468"/>
    <n v="45829"/>
    <s v="C90110"/>
    <x v="1"/>
    <x v="2"/>
    <x v="468"/>
    <x v="363"/>
    <x v="2"/>
    <s v="Delivered"/>
    <s v="TRK60203957"/>
    <n v="5"/>
    <s v="FREESHIP"/>
    <s v="Email"/>
    <n v="418.36"/>
  </r>
  <r>
    <x v="469"/>
    <n v="45256"/>
    <s v="C13877"/>
    <x v="3"/>
    <x v="0"/>
    <x v="469"/>
    <x v="136"/>
    <x v="4"/>
    <s v="Cancelled"/>
    <s v="TRK17254691"/>
    <n v="5"/>
    <s v="N/A"/>
    <s v="Facebook"/>
    <n v="3384.9"/>
  </r>
  <r>
    <x v="470"/>
    <n v="45198"/>
    <s v="C25149"/>
    <x v="2"/>
    <x v="3"/>
    <x v="470"/>
    <x v="364"/>
    <x v="4"/>
    <s v="Shipped"/>
    <s v="TRK33538608"/>
    <n v="5"/>
    <s v="SAVE10"/>
    <s v="Email"/>
    <n v="1054.48"/>
  </r>
  <r>
    <x v="471"/>
    <n v="45766"/>
    <s v="C52717"/>
    <x v="6"/>
    <x v="0"/>
    <x v="471"/>
    <x v="365"/>
    <x v="1"/>
    <s v="Cancelled"/>
    <s v="TRK27625571"/>
    <n v="7"/>
    <s v="FREESHIP"/>
    <s v="Referral"/>
    <n v="2756.35"/>
  </r>
  <r>
    <x v="472"/>
    <n v="44932"/>
    <s v="C60029"/>
    <x v="3"/>
    <x v="4"/>
    <x v="472"/>
    <x v="366"/>
    <x v="2"/>
    <s v="Cancelled"/>
    <s v="TRK86461316"/>
    <n v="8"/>
    <s v="FREESHIP"/>
    <s v="Referral"/>
    <n v="1524.36"/>
  </r>
  <r>
    <x v="473"/>
    <n v="45713"/>
    <s v="C28552"/>
    <x v="3"/>
    <x v="1"/>
    <x v="473"/>
    <x v="367"/>
    <x v="1"/>
    <s v="Shipped"/>
    <s v="TRK71597160"/>
    <n v="4"/>
    <s v="N/A"/>
    <s v="Facebook"/>
    <n v="29.86"/>
  </r>
  <r>
    <x v="474"/>
    <n v="45245"/>
    <s v="C72293"/>
    <x v="4"/>
    <x v="4"/>
    <x v="474"/>
    <x v="282"/>
    <x v="2"/>
    <s v="Shipped"/>
    <s v="TRK84378003"/>
    <n v="6"/>
    <s v="SAVE10"/>
    <s v="Referral"/>
    <n v="688.02"/>
  </r>
  <r>
    <x v="475"/>
    <n v="45766"/>
    <s v="C29844"/>
    <x v="2"/>
    <x v="1"/>
    <x v="475"/>
    <x v="368"/>
    <x v="4"/>
    <s v="Cancelled"/>
    <s v="TRK91642337"/>
    <n v="3"/>
    <s v="SAVE10"/>
    <s v="Facebook"/>
    <n v="877.24"/>
  </r>
  <r>
    <x v="476"/>
    <n v="45306"/>
    <s v="C77872"/>
    <x v="1"/>
    <x v="1"/>
    <x v="476"/>
    <x v="369"/>
    <x v="1"/>
    <s v="Returned"/>
    <s v="TRK19292184"/>
    <n v="4"/>
    <s v="FREESHIP"/>
    <s v="Referral"/>
    <n v="1027.18"/>
  </r>
  <r>
    <x v="477"/>
    <n v="45721"/>
    <s v="C56564"/>
    <x v="1"/>
    <x v="1"/>
    <x v="477"/>
    <x v="370"/>
    <x v="1"/>
    <s v="Shipped"/>
    <s v="TRK13166044"/>
    <n v="5"/>
    <s v="SAVE10"/>
    <s v="Google"/>
    <n v="507.48"/>
  </r>
  <r>
    <x v="478"/>
    <n v="45597"/>
    <s v="C16758"/>
    <x v="2"/>
    <x v="4"/>
    <x v="478"/>
    <x v="16"/>
    <x v="3"/>
    <s v="Shipped"/>
    <s v="TRK88544431"/>
    <n v="6"/>
    <s v="FREESHIP"/>
    <s v="Referral"/>
    <n v="188.31"/>
  </r>
  <r>
    <x v="479"/>
    <n v="44975"/>
    <s v="C87011"/>
    <x v="0"/>
    <x v="3"/>
    <x v="479"/>
    <x v="371"/>
    <x v="2"/>
    <s v="Pending"/>
    <s v="TRK21429162"/>
    <n v="8"/>
    <s v="N/A"/>
    <s v="Google"/>
    <n v="101.16"/>
  </r>
  <r>
    <x v="480"/>
    <n v="45093"/>
    <s v="C21147"/>
    <x v="3"/>
    <x v="2"/>
    <x v="480"/>
    <x v="99"/>
    <x v="0"/>
    <s v="Pending"/>
    <s v="TRK93171043"/>
    <n v="6"/>
    <s v="FREESHIP"/>
    <s v="Referral"/>
    <n v="335.1"/>
  </r>
  <r>
    <x v="481"/>
    <n v="45039"/>
    <s v="C94568"/>
    <x v="5"/>
    <x v="3"/>
    <x v="481"/>
    <x v="186"/>
    <x v="0"/>
    <s v="Delivered"/>
    <s v="TRK58653915"/>
    <n v="5"/>
    <s v="WINTER15"/>
    <s v="Referral"/>
    <n v="1939.4"/>
  </r>
  <r>
    <x v="482"/>
    <n v="45718"/>
    <s v="C35852"/>
    <x v="0"/>
    <x v="4"/>
    <x v="482"/>
    <x v="77"/>
    <x v="1"/>
    <s v="Pending"/>
    <s v="TRK22302049"/>
    <n v="6"/>
    <s v="N/A"/>
    <s v="Instagram"/>
    <n v="1144.23"/>
  </r>
  <r>
    <x v="483"/>
    <n v="44944"/>
    <s v="C66462"/>
    <x v="1"/>
    <x v="0"/>
    <x v="483"/>
    <x v="372"/>
    <x v="4"/>
    <s v="Pending"/>
    <s v="TRK52743700"/>
    <n v="6"/>
    <s v="WINTER15"/>
    <s v="Google"/>
    <n v="1739.6"/>
  </r>
  <r>
    <x v="484"/>
    <n v="45441"/>
    <s v="C29092"/>
    <x v="3"/>
    <x v="3"/>
    <x v="484"/>
    <x v="326"/>
    <x v="4"/>
    <s v="Cancelled"/>
    <s v="TRK90455340"/>
    <n v="6"/>
    <s v="N/A"/>
    <s v="Facebook"/>
    <n v="60.04"/>
  </r>
  <r>
    <x v="485"/>
    <n v="45139"/>
    <s v="C46651"/>
    <x v="3"/>
    <x v="4"/>
    <x v="485"/>
    <x v="373"/>
    <x v="4"/>
    <s v="Shipped"/>
    <s v="TRK67679195"/>
    <n v="6"/>
    <s v="SAVE10"/>
    <s v="Instagram"/>
    <n v="1214.37"/>
  </r>
  <r>
    <x v="486"/>
    <n v="44960"/>
    <s v="C88981"/>
    <x v="4"/>
    <x v="3"/>
    <x v="486"/>
    <x v="317"/>
    <x v="4"/>
    <s v="Shipped"/>
    <s v="TRK75267873"/>
    <n v="5"/>
    <s v="SAVE10"/>
    <s v="Referral"/>
    <n v="2445.04"/>
  </r>
  <r>
    <x v="487"/>
    <n v="44994"/>
    <s v="C40136"/>
    <x v="4"/>
    <x v="4"/>
    <x v="487"/>
    <x v="374"/>
    <x v="2"/>
    <s v="Pending"/>
    <s v="TRK92924852"/>
    <n v="3"/>
    <s v="SAVE10"/>
    <s v="Google"/>
    <n v="1039.56"/>
  </r>
  <r>
    <x v="488"/>
    <n v="45631"/>
    <s v="C81573"/>
    <x v="3"/>
    <x v="2"/>
    <x v="488"/>
    <x v="375"/>
    <x v="1"/>
    <s v="Cancelled"/>
    <s v="TRK96522994"/>
    <n v="1"/>
    <s v="WINTER15"/>
    <s v="Email"/>
    <n v="36.65"/>
  </r>
  <r>
    <x v="489"/>
    <n v="45174"/>
    <s v="C11940"/>
    <x v="2"/>
    <x v="4"/>
    <x v="489"/>
    <x v="227"/>
    <x v="3"/>
    <s v="Cancelled"/>
    <s v="TRK85466461"/>
    <n v="7"/>
    <s v="WINTER15"/>
    <s v="Email"/>
    <n v="448.02"/>
  </r>
  <r>
    <x v="490"/>
    <n v="45495"/>
    <s v="C50097"/>
    <x v="3"/>
    <x v="0"/>
    <x v="490"/>
    <x v="376"/>
    <x v="1"/>
    <s v="Cancelled"/>
    <s v="TRK62785150"/>
    <n v="10"/>
    <s v="N/A"/>
    <s v="Facebook"/>
    <n v="2339.05"/>
  </r>
  <r>
    <x v="491"/>
    <n v="44931"/>
    <s v="C98168"/>
    <x v="1"/>
    <x v="0"/>
    <x v="491"/>
    <x v="370"/>
    <x v="4"/>
    <s v="Pending"/>
    <s v="TRK56423359"/>
    <n v="5"/>
    <s v="WINTER15"/>
    <s v="Facebook"/>
    <n v="2103.5"/>
  </r>
  <r>
    <x v="492"/>
    <n v="45224"/>
    <s v="C39074"/>
    <x v="5"/>
    <x v="0"/>
    <x v="492"/>
    <x v="73"/>
    <x v="0"/>
    <s v="Shipped"/>
    <s v="TRK13027036"/>
    <n v="6"/>
    <s v="SAVE10"/>
    <s v="Instagram"/>
    <n v="3032.6"/>
  </r>
  <r>
    <x v="493"/>
    <n v="45685"/>
    <s v="C84908"/>
    <x v="1"/>
    <x v="2"/>
    <x v="493"/>
    <x v="377"/>
    <x v="2"/>
    <s v="Pending"/>
    <s v="TRK64135970"/>
    <n v="4"/>
    <s v="FREESHIP"/>
    <s v="Facebook"/>
    <n v="420.26"/>
  </r>
  <r>
    <x v="494"/>
    <n v="45126"/>
    <s v="C64516"/>
    <x v="5"/>
    <x v="4"/>
    <x v="494"/>
    <x v="378"/>
    <x v="0"/>
    <s v="Pending"/>
    <s v="TRK63920573"/>
    <n v="3"/>
    <s v="FREESHIP"/>
    <s v="Referral"/>
    <n v="1517.37"/>
  </r>
  <r>
    <x v="495"/>
    <n v="45813"/>
    <s v="C63827"/>
    <x v="1"/>
    <x v="3"/>
    <x v="495"/>
    <x v="140"/>
    <x v="0"/>
    <s v="Pending"/>
    <s v="TRK35730581"/>
    <n v="6"/>
    <s v="SAVE10"/>
    <s v="Facebook"/>
    <n v="1974.92"/>
  </r>
  <r>
    <x v="496"/>
    <n v="45730"/>
    <s v="C93618"/>
    <x v="4"/>
    <x v="4"/>
    <x v="496"/>
    <x v="379"/>
    <x v="1"/>
    <s v="Cancelled"/>
    <s v="TRK66129326"/>
    <n v="3"/>
    <s v="SAVE10"/>
    <s v="Google"/>
    <n v="603.63"/>
  </r>
  <r>
    <x v="497"/>
    <n v="45589"/>
    <s v="C93948"/>
    <x v="4"/>
    <x v="4"/>
    <x v="497"/>
    <x v="380"/>
    <x v="3"/>
    <s v="Shipped"/>
    <s v="TRK77358113"/>
    <n v="6"/>
    <s v="N/A"/>
    <s v="Google"/>
    <n v="336.87"/>
  </r>
  <r>
    <x v="498"/>
    <n v="45119"/>
    <s v="C73961"/>
    <x v="2"/>
    <x v="3"/>
    <x v="498"/>
    <x v="212"/>
    <x v="4"/>
    <s v="Returned"/>
    <s v="TRK32607173"/>
    <n v="8"/>
    <s v="WINTER15"/>
    <s v="Instagram"/>
    <n v="530.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">
  <location ref="A3:D11" firstHeaderRow="0" firstDataRow="1" firstDataCol="1"/>
  <pivotFields count="14">
    <pivotField countASubtotal="1" showAll="0">
      <items count="5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countA"/>
      </items>
    </pivotField>
    <pivotField numFmtId="180" showAll="0"/>
    <pivotField dataField="1"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numFmtId="180" showAll="0">
      <items count="6">
        <item x="2"/>
        <item x="1"/>
        <item x="4"/>
        <item x="3"/>
        <item x="0"/>
        <item t="default"/>
      </items>
    </pivotField>
    <pivotField numFmtId="180" showAll="0">
      <items count="500">
        <item x="67"/>
        <item x="251"/>
        <item x="473"/>
        <item x="484"/>
        <item x="240"/>
        <item x="336"/>
        <item x="128"/>
        <item x="424"/>
        <item x="479"/>
        <item x="49"/>
        <item x="303"/>
        <item x="488"/>
        <item x="411"/>
        <item x="387"/>
        <item x="231"/>
        <item x="250"/>
        <item x="62"/>
        <item x="136"/>
        <item x="467"/>
        <item x="193"/>
        <item x="108"/>
        <item x="92"/>
        <item x="11"/>
        <item x="22"/>
        <item x="431"/>
        <item x="398"/>
        <item x="350"/>
        <item x="279"/>
        <item x="417"/>
        <item x="306"/>
        <item x="426"/>
        <item x="26"/>
        <item x="230"/>
        <item x="219"/>
        <item x="20"/>
        <item x="478"/>
        <item x="456"/>
        <item x="378"/>
        <item x="351"/>
        <item x="275"/>
        <item x="235"/>
        <item x="162"/>
        <item x="292"/>
        <item x="406"/>
        <item x="312"/>
        <item x="175"/>
        <item x="135"/>
        <item x="443"/>
        <item x="102"/>
        <item x="324"/>
        <item x="393"/>
        <item x="452"/>
        <item x="256"/>
        <item x="37"/>
        <item x="48"/>
        <item x="65"/>
        <item x="440"/>
        <item x="409"/>
        <item x="131"/>
        <item x="166"/>
        <item x="74"/>
        <item x="277"/>
        <item x="224"/>
        <item x="315"/>
        <item x="386"/>
        <item x="375"/>
        <item x="404"/>
        <item x="290"/>
        <item x="160"/>
        <item x="258"/>
        <item x="150"/>
        <item x="295"/>
        <item x="454"/>
        <item x="497"/>
        <item x="218"/>
        <item x="363"/>
        <item x="88"/>
        <item x="95"/>
        <item x="413"/>
        <item x="207"/>
        <item x="61"/>
        <item x="332"/>
        <item x="305"/>
        <item x="66"/>
        <item x="395"/>
        <item x="64"/>
        <item x="310"/>
        <item x="498"/>
        <item x="412"/>
        <item x="186"/>
        <item x="8"/>
        <item x="444"/>
        <item x="286"/>
        <item x="414"/>
        <item x="317"/>
        <item x="460"/>
        <item x="243"/>
        <item x="439"/>
        <item x="85"/>
        <item x="145"/>
        <item x="205"/>
        <item x="171"/>
        <item x="318"/>
        <item x="489"/>
        <item x="7"/>
        <item x="323"/>
        <item x="1"/>
        <item x="42"/>
        <item x="321"/>
        <item x="314"/>
        <item x="448"/>
        <item x="28"/>
        <item x="400"/>
        <item x="289"/>
        <item x="427"/>
        <item x="33"/>
        <item x="84"/>
        <item x="341"/>
        <item x="261"/>
        <item x="352"/>
        <item x="78"/>
        <item x="50"/>
        <item x="12"/>
        <item x="90"/>
        <item x="274"/>
        <item x="451"/>
        <item x="358"/>
        <item x="415"/>
        <item x="105"/>
        <item x="183"/>
        <item x="209"/>
        <item x="113"/>
        <item x="385"/>
        <item x="381"/>
        <item x="211"/>
        <item x="333"/>
        <item x="134"/>
        <item x="496"/>
        <item x="376"/>
        <item x="13"/>
        <item x="99"/>
        <item x="335"/>
        <item x="422"/>
        <item x="362"/>
        <item x="284"/>
        <item x="47"/>
        <item x="185"/>
        <item x="161"/>
        <item x="184"/>
        <item x="419"/>
        <item x="196"/>
        <item x="149"/>
        <item x="103"/>
        <item x="242"/>
        <item x="144"/>
        <item x="110"/>
        <item x="247"/>
        <item x="436"/>
        <item x="197"/>
        <item x="245"/>
        <item x="190"/>
        <item x="19"/>
        <item x="334"/>
        <item x="87"/>
        <item x="98"/>
        <item x="206"/>
        <item x="474"/>
        <item x="24"/>
        <item x="322"/>
        <item x="96"/>
        <item x="339"/>
        <item x="234"/>
        <item x="273"/>
        <item x="5"/>
        <item x="38"/>
        <item x="262"/>
        <item x="194"/>
        <item x="137"/>
        <item x="462"/>
        <item x="449"/>
        <item x="477"/>
        <item x="202"/>
        <item x="172"/>
        <item x="39"/>
        <item x="377"/>
        <item x="330"/>
        <item x="428"/>
        <item x="382"/>
        <item x="254"/>
        <item x="470"/>
        <item x="129"/>
        <item x="255"/>
        <item x="347"/>
        <item x="212"/>
        <item x="156"/>
        <item x="368"/>
        <item x="142"/>
        <item x="3"/>
        <item x="23"/>
        <item x="225"/>
        <item x="316"/>
        <item x="126"/>
        <item x="123"/>
        <item x="299"/>
        <item x="54"/>
        <item x="329"/>
        <item x="124"/>
        <item x="396"/>
        <item x="300"/>
        <item x="421"/>
        <item x="116"/>
        <item x="379"/>
        <item x="294"/>
        <item x="138"/>
        <item x="159"/>
        <item x="298"/>
        <item x="425"/>
        <item x="133"/>
        <item x="215"/>
        <item x="338"/>
        <item x="214"/>
        <item x="371"/>
        <item x="111"/>
        <item x="270"/>
        <item x="418"/>
        <item x="233"/>
        <item x="79"/>
        <item x="370"/>
        <item x="57"/>
        <item x="442"/>
        <item x="180"/>
        <item x="45"/>
        <item x="244"/>
        <item x="236"/>
        <item x="148"/>
        <item x="217"/>
        <item x="434"/>
        <item x="441"/>
        <item x="158"/>
        <item x="380"/>
        <item x="459"/>
        <item x="480"/>
        <item x="402"/>
        <item x="285"/>
        <item x="198"/>
        <item x="373"/>
        <item x="246"/>
        <item x="21"/>
        <item x="40"/>
        <item x="55"/>
        <item x="291"/>
        <item x="487"/>
        <item x="483"/>
        <item x="203"/>
        <item x="210"/>
        <item x="348"/>
        <item x="327"/>
        <item x="325"/>
        <item x="278"/>
        <item x="188"/>
        <item x="227"/>
        <item x="220"/>
        <item x="356"/>
        <item x="115"/>
        <item x="369"/>
        <item x="101"/>
        <item x="482"/>
        <item x="76"/>
        <item x="167"/>
        <item x="238"/>
        <item x="228"/>
        <item x="51"/>
        <item x="14"/>
        <item x="383"/>
        <item x="81"/>
        <item x="75"/>
        <item x="152"/>
        <item x="272"/>
        <item x="25"/>
        <item x="143"/>
        <item x="461"/>
        <item x="181"/>
        <item x="280"/>
        <item x="485"/>
        <item x="257"/>
        <item x="260"/>
        <item x="154"/>
        <item x="208"/>
        <item x="357"/>
        <item x="304"/>
        <item x="112"/>
        <item x="121"/>
        <item x="146"/>
        <item x="408"/>
        <item x="204"/>
        <item x="253"/>
        <item x="435"/>
        <item x="447"/>
        <item x="60"/>
        <item x="468"/>
        <item x="493"/>
        <item x="491"/>
        <item x="331"/>
        <item x="17"/>
        <item x="29"/>
        <item x="268"/>
        <item x="399"/>
        <item x="432"/>
        <item x="155"/>
        <item x="30"/>
        <item x="397"/>
        <item x="169"/>
        <item x="189"/>
        <item x="176"/>
        <item x="93"/>
        <item x="18"/>
        <item x="177"/>
        <item x="466"/>
        <item x="200"/>
        <item x="355"/>
        <item x="73"/>
        <item x="313"/>
        <item x="464"/>
        <item x="71"/>
        <item x="263"/>
        <item x="259"/>
        <item x="264"/>
        <item x="475"/>
        <item x="232"/>
        <item x="151"/>
        <item x="308"/>
        <item x="430"/>
        <item x="132"/>
        <item x="405"/>
        <item x="420"/>
        <item x="89"/>
        <item x="438"/>
        <item x="293"/>
        <item x="106"/>
        <item x="35"/>
        <item x="147"/>
        <item x="349"/>
        <item x="342"/>
        <item x="490"/>
        <item x="267"/>
        <item x="302"/>
        <item x="127"/>
        <item x="27"/>
        <item x="15"/>
        <item x="58"/>
        <item x="69"/>
        <item x="56"/>
        <item x="372"/>
        <item x="481"/>
        <item x="445"/>
        <item x="53"/>
        <item x="191"/>
        <item x="311"/>
        <item x="68"/>
        <item x="91"/>
        <item x="495"/>
        <item x="297"/>
        <item x="216"/>
        <item x="114"/>
        <item x="43"/>
        <item x="31"/>
        <item x="165"/>
        <item x="345"/>
        <item x="130"/>
        <item x="118"/>
        <item x="337"/>
        <item x="494"/>
        <item x="472"/>
        <item x="390"/>
        <item x="9"/>
        <item x="446"/>
        <item x="458"/>
        <item x="178"/>
        <item x="437"/>
        <item x="125"/>
        <item x="288"/>
        <item x="465"/>
        <item x="476"/>
        <item x="429"/>
        <item x="410"/>
        <item x="340"/>
        <item x="391"/>
        <item x="343"/>
        <item x="140"/>
        <item x="394"/>
        <item x="94"/>
        <item x="122"/>
        <item x="16"/>
        <item x="36"/>
        <item x="153"/>
        <item x="119"/>
        <item x="117"/>
        <item x="164"/>
        <item x="32"/>
        <item x="401"/>
        <item x="239"/>
        <item x="179"/>
        <item x="283"/>
        <item x="83"/>
        <item x="271"/>
        <item x="249"/>
        <item x="407"/>
        <item x="309"/>
        <item x="46"/>
        <item x="44"/>
        <item x="2"/>
        <item x="471"/>
        <item x="384"/>
        <item x="307"/>
        <item x="229"/>
        <item x="319"/>
        <item x="157"/>
        <item x="63"/>
        <item x="82"/>
        <item x="0"/>
        <item x="374"/>
        <item x="265"/>
        <item x="34"/>
        <item x="104"/>
        <item x="266"/>
        <item x="77"/>
        <item x="237"/>
        <item x="139"/>
        <item x="301"/>
        <item x="52"/>
        <item x="226"/>
        <item x="72"/>
        <item x="80"/>
        <item x="360"/>
        <item x="187"/>
        <item x="109"/>
        <item x="59"/>
        <item x="168"/>
        <item x="182"/>
        <item x="276"/>
        <item x="174"/>
        <item x="366"/>
        <item x="492"/>
        <item x="359"/>
        <item x="486"/>
        <item x="41"/>
        <item x="450"/>
        <item x="241"/>
        <item x="457"/>
        <item x="195"/>
        <item x="97"/>
        <item x="403"/>
        <item x="344"/>
        <item x="199"/>
        <item x="320"/>
        <item x="10"/>
        <item x="4"/>
        <item x="392"/>
        <item x="364"/>
        <item x="70"/>
        <item x="120"/>
        <item x="353"/>
        <item x="433"/>
        <item x="388"/>
        <item x="213"/>
        <item x="282"/>
        <item x="296"/>
        <item x="221"/>
        <item x="455"/>
        <item x="163"/>
        <item x="86"/>
        <item x="416"/>
        <item x="192"/>
        <item x="281"/>
        <item x="346"/>
        <item x="287"/>
        <item x="367"/>
        <item x="361"/>
        <item x="463"/>
        <item x="170"/>
        <item x="269"/>
        <item x="6"/>
        <item x="173"/>
        <item x="100"/>
        <item x="252"/>
        <item x="326"/>
        <item x="248"/>
        <item x="107"/>
        <item x="328"/>
        <item x="201"/>
        <item x="453"/>
        <item x="469"/>
        <item x="365"/>
        <item x="141"/>
        <item x="423"/>
        <item x="223"/>
        <item x="222"/>
        <item x="354"/>
        <item x="389"/>
        <item t="default"/>
      </items>
    </pivotField>
    <pivotField showAll="0">
      <items count="382">
        <item x="267"/>
        <item x="9"/>
        <item x="73"/>
        <item x="57"/>
        <item x="109"/>
        <item x="107"/>
        <item x="232"/>
        <item x="255"/>
        <item x="108"/>
        <item x="329"/>
        <item x="99"/>
        <item x="230"/>
        <item x="35"/>
        <item x="67"/>
        <item x="102"/>
        <item x="209"/>
        <item x="260"/>
        <item x="137"/>
        <item x="72"/>
        <item x="315"/>
        <item x="313"/>
        <item x="226"/>
        <item x="131"/>
        <item x="94"/>
        <item x="222"/>
        <item x="43"/>
        <item x="352"/>
        <item x="213"/>
        <item x="309"/>
        <item x="296"/>
        <item x="180"/>
        <item x="138"/>
        <item x="12"/>
        <item x="327"/>
        <item x="184"/>
        <item x="112"/>
        <item x="241"/>
        <item x="85"/>
        <item x="303"/>
        <item x="54"/>
        <item x="86"/>
        <item x="249"/>
        <item x="374"/>
        <item x="360"/>
        <item x="307"/>
        <item x="150"/>
        <item x="44"/>
        <item x="149"/>
        <item x="347"/>
        <item x="166"/>
        <item x="49"/>
        <item x="258"/>
        <item x="259"/>
        <item x="70"/>
        <item x="146"/>
        <item x="195"/>
        <item x="120"/>
        <item x="216"/>
        <item x="328"/>
        <item x="163"/>
        <item x="287"/>
        <item x="379"/>
        <item x="224"/>
        <item x="251"/>
        <item x="207"/>
        <item x="165"/>
        <item x="288"/>
        <item x="348"/>
        <item x="239"/>
        <item x="40"/>
        <item x="314"/>
        <item x="19"/>
        <item x="263"/>
        <item x="3"/>
        <item x="147"/>
        <item x="250"/>
        <item x="160"/>
        <item x="351"/>
        <item x="83"/>
        <item x="284"/>
        <item x="221"/>
        <item x="26"/>
        <item x="238"/>
        <item x="266"/>
        <item x="301"/>
        <item x="323"/>
        <item x="212"/>
        <item x="304"/>
        <item x="337"/>
        <item x="186"/>
        <item x="82"/>
        <item x="322"/>
        <item x="343"/>
        <item x="168"/>
        <item x="45"/>
        <item x="257"/>
        <item x="199"/>
        <item x="157"/>
        <item x="10"/>
        <item x="154"/>
        <item x="201"/>
        <item x="268"/>
        <item x="312"/>
        <item x="71"/>
        <item x="118"/>
        <item x="159"/>
        <item x="349"/>
        <item x="179"/>
        <item x="319"/>
        <item x="235"/>
        <item x="368"/>
        <item x="119"/>
        <item x="185"/>
        <item x="256"/>
        <item x="377"/>
        <item x="316"/>
        <item x="242"/>
        <item x="338"/>
        <item x="290"/>
        <item x="17"/>
        <item x="65"/>
        <item x="61"/>
        <item x="103"/>
        <item x="362"/>
        <item x="365"/>
        <item x="282"/>
        <item x="311"/>
        <item x="306"/>
        <item x="135"/>
        <item x="208"/>
        <item x="37"/>
        <item x="269"/>
        <item x="271"/>
        <item x="105"/>
        <item x="121"/>
        <item x="174"/>
        <item x="187"/>
        <item x="339"/>
        <item x="48"/>
        <item x="342"/>
        <item x="142"/>
        <item x="334"/>
        <item x="63"/>
        <item x="279"/>
        <item x="47"/>
        <item x="80"/>
        <item x="367"/>
        <item x="380"/>
        <item x="206"/>
        <item x="190"/>
        <item x="378"/>
        <item x="223"/>
        <item x="219"/>
        <item x="46"/>
        <item x="36"/>
        <item x="215"/>
        <item x="358"/>
        <item x="344"/>
        <item x="129"/>
        <item x="370"/>
        <item x="336"/>
        <item x="354"/>
        <item x="294"/>
        <item x="293"/>
        <item x="75"/>
        <item x="191"/>
        <item x="161"/>
        <item x="173"/>
        <item x="210"/>
        <item x="193"/>
        <item x="2"/>
        <item x="122"/>
        <item x="96"/>
        <item x="244"/>
        <item x="101"/>
        <item x="275"/>
        <item x="91"/>
        <item x="153"/>
        <item x="325"/>
        <item x="246"/>
        <item x="376"/>
        <item x="265"/>
        <item x="357"/>
        <item x="274"/>
        <item x="38"/>
        <item x="64"/>
        <item x="158"/>
        <item x="375"/>
        <item x="317"/>
        <item x="203"/>
        <item x="116"/>
        <item x="248"/>
        <item x="51"/>
        <item x="52"/>
        <item x="28"/>
        <item x="21"/>
        <item x="167"/>
        <item x="132"/>
        <item x="196"/>
        <item x="353"/>
        <item x="124"/>
        <item x="346"/>
        <item x="20"/>
        <item x="114"/>
        <item x="227"/>
        <item x="74"/>
        <item x="110"/>
        <item x="127"/>
        <item x="164"/>
        <item x="171"/>
        <item x="128"/>
        <item x="280"/>
        <item x="305"/>
        <item x="106"/>
        <item x="123"/>
        <item x="276"/>
        <item x="181"/>
        <item x="200"/>
        <item x="84"/>
        <item x="285"/>
        <item x="104"/>
        <item x="68"/>
        <item x="50"/>
        <item x="261"/>
        <item x="245"/>
        <item x="22"/>
        <item x="56"/>
        <item x="125"/>
        <item x="126"/>
        <item x="97"/>
        <item x="143"/>
        <item x="331"/>
        <item x="236"/>
        <item x="229"/>
        <item x="41"/>
        <item x="141"/>
        <item x="345"/>
        <item x="340"/>
        <item x="273"/>
        <item x="39"/>
        <item x="148"/>
        <item x="4"/>
        <item x="247"/>
        <item x="364"/>
        <item x="113"/>
        <item x="298"/>
        <item x="355"/>
        <item x="169"/>
        <item x="58"/>
        <item x="194"/>
        <item x="281"/>
        <item x="7"/>
        <item x="25"/>
        <item x="220"/>
        <item x="130"/>
        <item x="62"/>
        <item x="92"/>
        <item x="177"/>
        <item x="178"/>
        <item x="172"/>
        <item x="254"/>
        <item x="115"/>
        <item x="278"/>
        <item x="182"/>
        <item x="359"/>
        <item x="152"/>
        <item x="144"/>
        <item x="361"/>
        <item x="240"/>
        <item x="93"/>
        <item x="300"/>
        <item x="60"/>
        <item x="23"/>
        <item x="117"/>
        <item x="197"/>
        <item x="373"/>
        <item x="326"/>
        <item x="79"/>
        <item x="335"/>
        <item x="205"/>
        <item x="270"/>
        <item x="320"/>
        <item x="302"/>
        <item x="88"/>
        <item x="204"/>
        <item x="214"/>
        <item x="156"/>
        <item x="231"/>
        <item x="366"/>
        <item x="330"/>
        <item x="134"/>
        <item x="176"/>
        <item x="228"/>
        <item x="155"/>
        <item x="111"/>
        <item x="98"/>
        <item x="55"/>
        <item x="59"/>
        <item x="217"/>
        <item x="202"/>
        <item x="277"/>
        <item x="145"/>
        <item x="218"/>
        <item x="1"/>
        <item x="292"/>
        <item x="283"/>
        <item x="32"/>
        <item x="11"/>
        <item x="87"/>
        <item x="211"/>
        <item x="89"/>
        <item x="53"/>
        <item x="272"/>
        <item x="100"/>
        <item x="350"/>
        <item x="252"/>
        <item x="324"/>
        <item x="333"/>
        <item x="369"/>
        <item x="308"/>
        <item x="42"/>
        <item x="356"/>
        <item x="289"/>
        <item x="151"/>
        <item x="27"/>
        <item x="189"/>
        <item x="234"/>
        <item x="291"/>
        <item x="18"/>
        <item x="136"/>
        <item x="253"/>
        <item x="30"/>
        <item x="175"/>
        <item x="13"/>
        <item x="8"/>
        <item x="299"/>
        <item x="188"/>
        <item x="237"/>
        <item x="33"/>
        <item x="16"/>
        <item x="81"/>
        <item x="69"/>
        <item x="286"/>
        <item x="318"/>
        <item x="90"/>
        <item x="66"/>
        <item x="34"/>
        <item x="170"/>
        <item x="0"/>
        <item x="29"/>
        <item x="192"/>
        <item x="133"/>
        <item x="5"/>
        <item x="15"/>
        <item x="371"/>
        <item x="95"/>
        <item x="140"/>
        <item x="198"/>
        <item x="332"/>
        <item x="341"/>
        <item x="24"/>
        <item x="78"/>
        <item x="262"/>
        <item x="310"/>
        <item x="162"/>
        <item x="76"/>
        <item x="233"/>
        <item x="225"/>
        <item x="264"/>
        <item x="14"/>
        <item x="139"/>
        <item x="372"/>
        <item x="6"/>
        <item x="321"/>
        <item x="77"/>
        <item x="243"/>
        <item x="297"/>
        <item x="295"/>
        <item x="31"/>
        <item x="363"/>
        <item x="183"/>
        <item t="default"/>
      </items>
    </pivotField>
    <pivotField multipleItemSelectionAllowe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numFmtId="180" showAll="0"/>
    <pivotField showAll="0"/>
    <pivotField showAll="0"/>
    <pivotField dataField="1" numFmtId="18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Price" fld="13" baseField="0" baseItem="0"/>
    <dataField name="Count of CustomerID" fld="2" subtotal="count" baseField="0" baseItem="0"/>
    <dataField name="Average of TotalPrice" fld="13" subtotal="average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Method" sourceName="PaymentMethod">
  <pivotTables>
    <pivotTable tabId="2" name="PivotTable2"/>
  </pivotTables>
  <data>
    <tabular pivotCacheId="1">
      <items count="5">
        <i x="4" s="1"/>
        <i x="2" s="1"/>
        <i x="0" s="1"/>
        <i x="3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aymentMethod" cache="Slicer_PaymentMethod" caption="PaymentMethod" rowHeight="234950"/>
</slicers>
</file>

<file path=xl/tables/table1.xml><?xml version="1.0" encoding="utf-8"?>
<table xmlns="http://schemas.openxmlformats.org/spreadsheetml/2006/main" id="1" name="Table1" displayName="Table1" ref="A1:N500" totalsRowShown="0">
  <autoFilter xmlns:etc="http://www.wps.cn/officeDocument/2017/etCustomData" ref="A1:N500" etc:filterBottomFollowUsedRange="0"/>
  <tableColumns count="14">
    <tableColumn id="1" name="OrderID" dataDxfId="0"/>
    <tableColumn id="2" name="Date" dataDxfId="1"/>
    <tableColumn id="3" name="CustomerID" dataDxfId="2"/>
    <tableColumn id="4" name="Product" dataDxfId="3"/>
    <tableColumn id="5" name="Quantity" dataDxfId="4"/>
    <tableColumn id="6" name="UnitPrice" dataDxfId="5"/>
    <tableColumn id="7" name="ShippingAddress" dataDxfId="6"/>
    <tableColumn id="8" name="PaymentMethod" dataDxfId="7"/>
    <tableColumn id="9" name="OrderStatus" dataDxfId="8"/>
    <tableColumn id="10" name="TrackingNumber" dataDxfId="9"/>
    <tableColumn id="11" name="ItemsInCart" dataDxfId="10"/>
    <tableColumn id="12" name="CouponCode" dataDxfId="11"/>
    <tableColumn id="13" name="ReferralSource" dataDxfId="12"/>
    <tableColumn id="14" name="TotalPrice" dataDxfId="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1"/>
  <sheetViews>
    <sheetView tabSelected="1" workbookViewId="0">
      <selection activeCell="J11" sqref="J11"/>
    </sheetView>
  </sheetViews>
  <sheetFormatPr defaultColWidth="9" defaultRowHeight="14.4" outlineLevelCol="3"/>
  <cols>
    <col min="1" max="1" width="13.1111111111111"/>
    <col min="2" max="2" width="17.2222222222222"/>
    <col min="3" max="3" width="20.5555555555556"/>
    <col min="4" max="4" width="20.7777777777778"/>
    <col min="5" max="500" width="10.6666666666667" customWidth="1"/>
    <col min="501" max="501" width="13.1111111111111" customWidth="1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s="5" t="s">
        <v>4</v>
      </c>
      <c r="B4">
        <v>79796.81</v>
      </c>
      <c r="C4">
        <v>76</v>
      </c>
      <c r="D4" s="4">
        <v>1049.95802631579</v>
      </c>
    </row>
    <row r="5" spans="1:4">
      <c r="A5" s="5" t="s">
        <v>5</v>
      </c>
      <c r="B5">
        <v>67376.24</v>
      </c>
      <c r="C5">
        <v>61</v>
      </c>
      <c r="D5" s="4">
        <v>1104.52852459016</v>
      </c>
    </row>
    <row r="6" spans="1:4">
      <c r="A6" s="5" t="s">
        <v>6</v>
      </c>
      <c r="B6">
        <v>66738.24</v>
      </c>
      <c r="C6">
        <v>61</v>
      </c>
      <c r="D6" s="4">
        <v>1094.06950819672</v>
      </c>
    </row>
    <row r="7" spans="1:4">
      <c r="A7" s="5" t="s">
        <v>7</v>
      </c>
      <c r="B7">
        <v>58360.44</v>
      </c>
      <c r="C7">
        <v>63</v>
      </c>
      <c r="D7" s="4">
        <v>926.356190476191</v>
      </c>
    </row>
    <row r="8" spans="1:4">
      <c r="A8" s="5" t="s">
        <v>8</v>
      </c>
      <c r="B8">
        <v>65370.79</v>
      </c>
      <c r="C8">
        <v>71</v>
      </c>
      <c r="D8" s="4">
        <v>920.715352112676</v>
      </c>
    </row>
    <row r="9" spans="1:4">
      <c r="A9" s="5" t="s">
        <v>9</v>
      </c>
      <c r="B9">
        <v>92947.8699999999</v>
      </c>
      <c r="C9">
        <v>89</v>
      </c>
      <c r="D9" s="4">
        <v>1044.35808988764</v>
      </c>
    </row>
    <row r="10" spans="1:4">
      <c r="A10" s="5" t="s">
        <v>10</v>
      </c>
      <c r="B10">
        <v>82209.06</v>
      </c>
      <c r="C10">
        <v>78</v>
      </c>
      <c r="D10" s="4">
        <v>1053.96230769231</v>
      </c>
    </row>
    <row r="11" spans="1:4">
      <c r="A11" s="5" t="s">
        <v>11</v>
      </c>
      <c r="B11">
        <v>512799.45</v>
      </c>
      <c r="C11">
        <v>499</v>
      </c>
      <c r="D11" s="4">
        <v>1027.65420841683</v>
      </c>
    </row>
  </sheetData>
  <pageMargins left="0.7" right="0.7" top="0.75" bottom="0.75" header="0.3" footer="0.3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8576"/>
  <sheetViews>
    <sheetView topLeftCell="A2" workbookViewId="0">
      <selection activeCell="F491" sqref="F491"/>
    </sheetView>
  </sheetViews>
  <sheetFormatPr defaultColWidth="9" defaultRowHeight="14.4"/>
  <cols>
    <col min="1" max="1" width="13.8888888888889" customWidth="1"/>
    <col min="2" max="2" width="17.1111111111111" customWidth="1"/>
    <col min="3" max="3" width="12.7777777777778" customWidth="1"/>
    <col min="4" max="4" width="9.55555555555556" customWidth="1"/>
    <col min="5" max="5" width="10.2222222222222" customWidth="1"/>
    <col min="6" max="6" width="10.5555555555556" customWidth="1"/>
    <col min="7" max="7" width="16.8888888888889" customWidth="1"/>
    <col min="8" max="8" width="17.2222222222222" customWidth="1"/>
    <col min="9" max="9" width="12.8888888888889" customWidth="1"/>
    <col min="10" max="10" width="16.8888888888889" customWidth="1"/>
    <col min="11" max="11" width="12.6666666666667" customWidth="1"/>
    <col min="12" max="12" width="13.8888888888889" customWidth="1"/>
    <col min="13" max="13" width="15.2222222222222" customWidth="1"/>
    <col min="14" max="14" width="13.1111111111111" customWidth="1"/>
  </cols>
  <sheetData>
    <row r="1" spans="1:14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</row>
    <row r="2" spans="1:14">
      <c r="A2" s="2" t="s">
        <v>26</v>
      </c>
      <c r="B2" s="2">
        <v>44930</v>
      </c>
      <c r="C2" s="2" t="s">
        <v>27</v>
      </c>
      <c r="D2" s="2" t="s">
        <v>7</v>
      </c>
      <c r="E2" s="2">
        <v>5</v>
      </c>
      <c r="F2" s="2">
        <v>570.62</v>
      </c>
      <c r="G2" s="2" t="s">
        <v>28</v>
      </c>
      <c r="H2" s="2" t="s">
        <v>29</v>
      </c>
      <c r="I2" s="2" t="s">
        <v>30</v>
      </c>
      <c r="J2" s="2" t="s">
        <v>31</v>
      </c>
      <c r="K2" s="2">
        <v>7</v>
      </c>
      <c r="L2" s="2" t="s">
        <v>32</v>
      </c>
      <c r="M2" s="2" t="s">
        <v>33</v>
      </c>
      <c r="N2" s="2">
        <v>2853.1</v>
      </c>
    </row>
    <row r="3" spans="1:14">
      <c r="A3" s="2" t="s">
        <v>34</v>
      </c>
      <c r="B3" s="2">
        <v>45527</v>
      </c>
      <c r="C3" s="2" t="s">
        <v>35</v>
      </c>
      <c r="D3" s="2" t="s">
        <v>8</v>
      </c>
      <c r="E3" s="2">
        <v>2</v>
      </c>
      <c r="F3" s="2">
        <v>151.35</v>
      </c>
      <c r="G3" s="2" t="s">
        <v>36</v>
      </c>
      <c r="H3" s="2" t="s">
        <v>37</v>
      </c>
      <c r="I3" s="2" t="s">
        <v>30</v>
      </c>
      <c r="J3" s="2" t="s">
        <v>38</v>
      </c>
      <c r="K3" s="2">
        <v>3</v>
      </c>
      <c r="L3" s="2" t="s">
        <v>32</v>
      </c>
      <c r="M3" s="2" t="s">
        <v>39</v>
      </c>
      <c r="N3" s="2">
        <v>302.7</v>
      </c>
    </row>
    <row r="4" spans="1:14">
      <c r="A4" s="2" t="s">
        <v>40</v>
      </c>
      <c r="B4" s="2">
        <v>45349</v>
      </c>
      <c r="C4" s="2" t="s">
        <v>41</v>
      </c>
      <c r="D4" s="2" t="s">
        <v>10</v>
      </c>
      <c r="E4" s="2">
        <v>5</v>
      </c>
      <c r="F4" s="2">
        <v>550.68</v>
      </c>
      <c r="G4" s="2" t="s">
        <v>42</v>
      </c>
      <c r="H4" s="2" t="s">
        <v>43</v>
      </c>
      <c r="I4" s="2" t="s">
        <v>44</v>
      </c>
      <c r="J4" s="2" t="s">
        <v>45</v>
      </c>
      <c r="K4" s="2">
        <v>8</v>
      </c>
      <c r="L4" s="2" t="s">
        <v>46</v>
      </c>
      <c r="M4" s="2" t="s">
        <v>47</v>
      </c>
      <c r="N4" s="2">
        <v>2753.4</v>
      </c>
    </row>
    <row r="5" spans="1:14">
      <c r="A5" s="2" t="s">
        <v>48</v>
      </c>
      <c r="B5" s="2">
        <v>45214</v>
      </c>
      <c r="C5" s="2" t="s">
        <v>49</v>
      </c>
      <c r="D5" s="2" t="s">
        <v>4</v>
      </c>
      <c r="E5" s="2">
        <v>1</v>
      </c>
      <c r="F5" s="2">
        <v>273.19</v>
      </c>
      <c r="G5" s="2" t="s">
        <v>50</v>
      </c>
      <c r="H5" s="2" t="s">
        <v>29</v>
      </c>
      <c r="I5" s="2" t="s">
        <v>51</v>
      </c>
      <c r="J5" s="2" t="s">
        <v>52</v>
      </c>
      <c r="K5" s="2">
        <v>5</v>
      </c>
      <c r="L5" s="2" t="s">
        <v>32</v>
      </c>
      <c r="M5" s="2" t="s">
        <v>53</v>
      </c>
      <c r="N5" s="2">
        <v>273.19</v>
      </c>
    </row>
    <row r="6" spans="1:14">
      <c r="A6" s="2" t="s">
        <v>54</v>
      </c>
      <c r="B6" s="2">
        <v>45785</v>
      </c>
      <c r="C6" s="2" t="s">
        <v>55</v>
      </c>
      <c r="D6" s="2" t="s">
        <v>9</v>
      </c>
      <c r="E6" s="2">
        <v>4</v>
      </c>
      <c r="F6" s="2">
        <v>626.01</v>
      </c>
      <c r="G6" s="2" t="s">
        <v>56</v>
      </c>
      <c r="H6" s="2" t="s">
        <v>37</v>
      </c>
      <c r="I6" s="2" t="s">
        <v>57</v>
      </c>
      <c r="J6" s="2" t="s">
        <v>58</v>
      </c>
      <c r="K6" s="2">
        <v>8</v>
      </c>
      <c r="L6" s="2" t="s">
        <v>32</v>
      </c>
      <c r="M6" s="2" t="s">
        <v>47</v>
      </c>
      <c r="N6" s="2">
        <v>2504.04</v>
      </c>
    </row>
    <row r="7" spans="1:14">
      <c r="A7" s="2" t="s">
        <v>59</v>
      </c>
      <c r="B7" s="2">
        <v>45222</v>
      </c>
      <c r="C7" s="2" t="s">
        <v>60</v>
      </c>
      <c r="D7" s="2" t="s">
        <v>8</v>
      </c>
      <c r="E7" s="2">
        <v>2</v>
      </c>
      <c r="F7" s="2">
        <v>245.86</v>
      </c>
      <c r="G7" s="2" t="s">
        <v>61</v>
      </c>
      <c r="H7" s="2" t="s">
        <v>43</v>
      </c>
      <c r="I7" s="2" t="s">
        <v>30</v>
      </c>
      <c r="J7" s="2" t="s">
        <v>62</v>
      </c>
      <c r="K7" s="2">
        <v>4</v>
      </c>
      <c r="L7" s="2" t="s">
        <v>32</v>
      </c>
      <c r="M7" s="2" t="s">
        <v>33</v>
      </c>
      <c r="N7" s="2">
        <v>491.72</v>
      </c>
    </row>
    <row r="8" spans="1:14">
      <c r="A8" s="2" t="s">
        <v>63</v>
      </c>
      <c r="B8" s="2">
        <v>45825</v>
      </c>
      <c r="C8" s="2" t="s">
        <v>64</v>
      </c>
      <c r="D8" s="2" t="s">
        <v>6</v>
      </c>
      <c r="E8" s="2">
        <v>1</v>
      </c>
      <c r="F8" s="2">
        <v>664.42</v>
      </c>
      <c r="G8" s="2" t="s">
        <v>65</v>
      </c>
      <c r="H8" s="2" t="s">
        <v>66</v>
      </c>
      <c r="I8" s="2" t="s">
        <v>51</v>
      </c>
      <c r="J8" s="2" t="s">
        <v>67</v>
      </c>
      <c r="K8" s="2">
        <v>6</v>
      </c>
      <c r="L8" s="2" t="s">
        <v>32</v>
      </c>
      <c r="M8" s="2" t="s">
        <v>53</v>
      </c>
      <c r="N8" s="2">
        <v>664.42</v>
      </c>
    </row>
    <row r="9" spans="1:14">
      <c r="A9" s="2" t="s">
        <v>68</v>
      </c>
      <c r="B9" s="2">
        <v>45058</v>
      </c>
      <c r="C9" s="2" t="s">
        <v>69</v>
      </c>
      <c r="D9" s="2" t="s">
        <v>7</v>
      </c>
      <c r="E9" s="2">
        <v>5</v>
      </c>
      <c r="F9" s="2">
        <v>149.55</v>
      </c>
      <c r="G9" s="2" t="s">
        <v>70</v>
      </c>
      <c r="H9" s="2" t="s">
        <v>71</v>
      </c>
      <c r="I9" s="2" t="s">
        <v>30</v>
      </c>
      <c r="J9" s="2" t="s">
        <v>72</v>
      </c>
      <c r="K9" s="2">
        <v>9</v>
      </c>
      <c r="L9" s="2" t="s">
        <v>46</v>
      </c>
      <c r="M9" s="2" t="s">
        <v>53</v>
      </c>
      <c r="N9" s="2">
        <v>747.75</v>
      </c>
    </row>
    <row r="10" spans="1:14">
      <c r="A10" s="2" t="s">
        <v>73</v>
      </c>
      <c r="B10" s="2">
        <v>45749</v>
      </c>
      <c r="C10" s="2" t="s">
        <v>74</v>
      </c>
      <c r="D10" s="2" t="s">
        <v>8</v>
      </c>
      <c r="E10" s="2">
        <v>2</v>
      </c>
      <c r="F10" s="2">
        <v>134.28</v>
      </c>
      <c r="G10" s="2" t="s">
        <v>75</v>
      </c>
      <c r="H10" s="2" t="s">
        <v>66</v>
      </c>
      <c r="I10" s="2" t="s">
        <v>44</v>
      </c>
      <c r="J10" s="2" t="s">
        <v>76</v>
      </c>
      <c r="K10" s="2">
        <v>2</v>
      </c>
      <c r="L10" s="2" t="s">
        <v>77</v>
      </c>
      <c r="M10" s="2" t="s">
        <v>47</v>
      </c>
      <c r="N10" s="2">
        <v>268.56</v>
      </c>
    </row>
    <row r="11" spans="1:14">
      <c r="A11" s="2" t="s">
        <v>78</v>
      </c>
      <c r="B11" s="2">
        <v>45251</v>
      </c>
      <c r="C11" s="2" t="s">
        <v>79</v>
      </c>
      <c r="D11" s="2" t="s">
        <v>5</v>
      </c>
      <c r="E11" s="2">
        <v>4</v>
      </c>
      <c r="F11" s="2">
        <v>509.38</v>
      </c>
      <c r="G11" s="2" t="s">
        <v>80</v>
      </c>
      <c r="H11" s="2" t="s">
        <v>43</v>
      </c>
      <c r="I11" s="2" t="s">
        <v>30</v>
      </c>
      <c r="J11" s="2" t="s">
        <v>81</v>
      </c>
      <c r="K11" s="2">
        <v>6</v>
      </c>
      <c r="L11" s="2" t="s">
        <v>32</v>
      </c>
      <c r="M11" s="2" t="s">
        <v>82</v>
      </c>
      <c r="N11" s="2">
        <v>2037.52</v>
      </c>
    </row>
    <row r="12" spans="1:14">
      <c r="A12" s="2" t="s">
        <v>83</v>
      </c>
      <c r="B12" s="2">
        <v>45289</v>
      </c>
      <c r="C12" s="2" t="s">
        <v>84</v>
      </c>
      <c r="D12" s="2" t="s">
        <v>10</v>
      </c>
      <c r="E12" s="2">
        <v>5</v>
      </c>
      <c r="F12" s="2">
        <v>625.97</v>
      </c>
      <c r="G12" s="2" t="s">
        <v>85</v>
      </c>
      <c r="H12" s="2" t="s">
        <v>43</v>
      </c>
      <c r="I12" s="2" t="s">
        <v>51</v>
      </c>
      <c r="J12" s="2" t="s">
        <v>86</v>
      </c>
      <c r="K12" s="2">
        <v>9</v>
      </c>
      <c r="L12" s="2" t="s">
        <v>87</v>
      </c>
      <c r="M12" s="2" t="s">
        <v>33</v>
      </c>
      <c r="N12" s="2">
        <v>3129.85</v>
      </c>
    </row>
    <row r="13" spans="1:14">
      <c r="A13" s="2" t="s">
        <v>88</v>
      </c>
      <c r="B13" s="2">
        <v>45339</v>
      </c>
      <c r="C13" s="2" t="s">
        <v>89</v>
      </c>
      <c r="D13" s="2" t="s">
        <v>7</v>
      </c>
      <c r="E13" s="2">
        <v>3</v>
      </c>
      <c r="F13" s="2">
        <v>49.14</v>
      </c>
      <c r="G13" s="2" t="s">
        <v>90</v>
      </c>
      <c r="H13" s="2" t="s">
        <v>37</v>
      </c>
      <c r="I13" s="2" t="s">
        <v>51</v>
      </c>
      <c r="J13" s="2" t="s">
        <v>91</v>
      </c>
      <c r="K13" s="2">
        <v>7</v>
      </c>
      <c r="L13" s="2" t="s">
        <v>32</v>
      </c>
      <c r="M13" s="2" t="s">
        <v>47</v>
      </c>
      <c r="N13" s="2">
        <v>147.42</v>
      </c>
    </row>
    <row r="14" spans="1:14">
      <c r="A14" s="2" t="s">
        <v>92</v>
      </c>
      <c r="B14" s="2">
        <v>45580</v>
      </c>
      <c r="C14" s="2" t="s">
        <v>93</v>
      </c>
      <c r="D14" s="2" t="s">
        <v>7</v>
      </c>
      <c r="E14" s="2">
        <v>2</v>
      </c>
      <c r="F14" s="2">
        <v>180.5</v>
      </c>
      <c r="G14" s="2" t="s">
        <v>94</v>
      </c>
      <c r="H14" s="2" t="s">
        <v>29</v>
      </c>
      <c r="I14" s="2" t="s">
        <v>95</v>
      </c>
      <c r="J14" s="2" t="s">
        <v>96</v>
      </c>
      <c r="K14" s="2">
        <v>6</v>
      </c>
      <c r="L14" s="2" t="s">
        <v>46</v>
      </c>
      <c r="M14" s="2" t="s">
        <v>39</v>
      </c>
      <c r="N14" s="2">
        <v>361</v>
      </c>
    </row>
    <row r="15" spans="1:14">
      <c r="A15" s="2" t="s">
        <v>97</v>
      </c>
      <c r="B15" s="2">
        <v>45168</v>
      </c>
      <c r="C15" s="2" t="s">
        <v>98</v>
      </c>
      <c r="D15" s="2" t="s">
        <v>6</v>
      </c>
      <c r="E15" s="2">
        <v>3</v>
      </c>
      <c r="F15" s="2">
        <v>201.49</v>
      </c>
      <c r="G15" s="2" t="s">
        <v>99</v>
      </c>
      <c r="H15" s="2" t="s">
        <v>43</v>
      </c>
      <c r="I15" s="2" t="s">
        <v>51</v>
      </c>
      <c r="J15" s="2" t="s">
        <v>100</v>
      </c>
      <c r="K15" s="2">
        <v>4</v>
      </c>
      <c r="L15" s="2" t="s">
        <v>46</v>
      </c>
      <c r="M15" s="2" t="s">
        <v>53</v>
      </c>
      <c r="N15" s="2">
        <v>604.47</v>
      </c>
    </row>
    <row r="16" spans="1:14">
      <c r="A16" s="2" t="s">
        <v>101</v>
      </c>
      <c r="B16" s="2">
        <v>45012</v>
      </c>
      <c r="C16" s="2" t="s">
        <v>102</v>
      </c>
      <c r="D16" s="2" t="s">
        <v>10</v>
      </c>
      <c r="E16" s="2">
        <v>2</v>
      </c>
      <c r="F16" s="2">
        <v>393.33</v>
      </c>
      <c r="G16" s="2" t="s">
        <v>103</v>
      </c>
      <c r="H16" s="2" t="s">
        <v>29</v>
      </c>
      <c r="I16" s="2" t="s">
        <v>95</v>
      </c>
      <c r="J16" s="2" t="s">
        <v>104</v>
      </c>
      <c r="K16" s="2">
        <v>3</v>
      </c>
      <c r="L16" s="2" t="s">
        <v>32</v>
      </c>
      <c r="M16" s="2" t="s">
        <v>33</v>
      </c>
      <c r="N16" s="2">
        <v>786.66</v>
      </c>
    </row>
    <row r="17" spans="1:14">
      <c r="A17" s="2" t="s">
        <v>105</v>
      </c>
      <c r="B17" s="2">
        <v>45124</v>
      </c>
      <c r="C17" s="2" t="s">
        <v>106</v>
      </c>
      <c r="D17" s="2" t="s">
        <v>9</v>
      </c>
      <c r="E17" s="2">
        <v>1</v>
      </c>
      <c r="F17" s="2">
        <v>473.96</v>
      </c>
      <c r="G17" s="2" t="s">
        <v>107</v>
      </c>
      <c r="H17" s="2" t="s">
        <v>71</v>
      </c>
      <c r="I17" s="2" t="s">
        <v>57</v>
      </c>
      <c r="J17" s="2" t="s">
        <v>108</v>
      </c>
      <c r="K17" s="2">
        <v>3</v>
      </c>
      <c r="L17" s="2" t="s">
        <v>77</v>
      </c>
      <c r="M17" s="2" t="s">
        <v>82</v>
      </c>
      <c r="N17" s="2">
        <v>473.96</v>
      </c>
    </row>
    <row r="18" spans="1:14">
      <c r="A18" s="2" t="s">
        <v>109</v>
      </c>
      <c r="B18" s="2">
        <v>44950</v>
      </c>
      <c r="C18" s="2" t="s">
        <v>110</v>
      </c>
      <c r="D18" s="2" t="s">
        <v>9</v>
      </c>
      <c r="E18" s="2">
        <v>2</v>
      </c>
      <c r="F18" s="2">
        <v>533.81</v>
      </c>
      <c r="G18" s="2" t="s">
        <v>111</v>
      </c>
      <c r="H18" s="2" t="s">
        <v>43</v>
      </c>
      <c r="I18" s="2" t="s">
        <v>95</v>
      </c>
      <c r="J18" s="2" t="s">
        <v>112</v>
      </c>
      <c r="K18" s="2">
        <v>3</v>
      </c>
      <c r="L18" s="2" t="s">
        <v>46</v>
      </c>
      <c r="M18" s="2" t="s">
        <v>47</v>
      </c>
      <c r="N18" s="2">
        <v>1067.62</v>
      </c>
    </row>
    <row r="19" spans="1:14">
      <c r="A19" s="2" t="s">
        <v>113</v>
      </c>
      <c r="B19" s="2">
        <v>45353</v>
      </c>
      <c r="C19" s="2" t="s">
        <v>114</v>
      </c>
      <c r="D19" s="2" t="s">
        <v>10</v>
      </c>
      <c r="E19" s="2">
        <v>1</v>
      </c>
      <c r="F19" s="2">
        <v>423.4</v>
      </c>
      <c r="G19" s="2" t="s">
        <v>115</v>
      </c>
      <c r="H19" s="2" t="s">
        <v>29</v>
      </c>
      <c r="I19" s="2" t="s">
        <v>30</v>
      </c>
      <c r="J19" s="2" t="s">
        <v>116</v>
      </c>
      <c r="K19" s="2">
        <v>3</v>
      </c>
      <c r="L19" s="2" t="s">
        <v>77</v>
      </c>
      <c r="M19" s="2" t="s">
        <v>39</v>
      </c>
      <c r="N19" s="2">
        <v>423.4</v>
      </c>
    </row>
    <row r="20" spans="1:14">
      <c r="A20" s="2" t="s">
        <v>117</v>
      </c>
      <c r="B20" s="2">
        <v>45742</v>
      </c>
      <c r="C20" s="2" t="s">
        <v>118</v>
      </c>
      <c r="D20" s="2" t="s">
        <v>5</v>
      </c>
      <c r="E20" s="2">
        <v>1</v>
      </c>
      <c r="F20" s="2">
        <v>431.44</v>
      </c>
      <c r="G20" s="2" t="s">
        <v>119</v>
      </c>
      <c r="H20" s="2" t="s">
        <v>66</v>
      </c>
      <c r="I20" s="2" t="s">
        <v>95</v>
      </c>
      <c r="J20" s="2" t="s">
        <v>120</v>
      </c>
      <c r="K20" s="2">
        <v>3</v>
      </c>
      <c r="L20" s="2" t="s">
        <v>32</v>
      </c>
      <c r="M20" s="2" t="s">
        <v>53</v>
      </c>
      <c r="N20" s="2">
        <v>431.44</v>
      </c>
    </row>
    <row r="21" spans="1:14">
      <c r="A21" s="2" t="s">
        <v>121</v>
      </c>
      <c r="B21" s="2">
        <v>44949</v>
      </c>
      <c r="C21" s="2" t="s">
        <v>122</v>
      </c>
      <c r="D21" s="2" t="s">
        <v>7</v>
      </c>
      <c r="E21" s="2">
        <v>5</v>
      </c>
      <c r="F21" s="2">
        <v>224</v>
      </c>
      <c r="G21" s="2" t="s">
        <v>123</v>
      </c>
      <c r="H21" s="2" t="s">
        <v>71</v>
      </c>
      <c r="I21" s="2" t="s">
        <v>51</v>
      </c>
      <c r="J21" s="2" t="s">
        <v>124</v>
      </c>
      <c r="K21" s="2">
        <v>9</v>
      </c>
      <c r="L21" s="2" t="s">
        <v>32</v>
      </c>
      <c r="M21" s="2" t="s">
        <v>82</v>
      </c>
      <c r="N21" s="2">
        <v>1120</v>
      </c>
    </row>
    <row r="22" spans="1:14">
      <c r="A22" s="2" t="s">
        <v>125</v>
      </c>
      <c r="B22" s="2">
        <v>45054</v>
      </c>
      <c r="C22" s="2" t="s">
        <v>126</v>
      </c>
      <c r="D22" s="2" t="s">
        <v>4</v>
      </c>
      <c r="E22" s="2">
        <v>5</v>
      </c>
      <c r="F22" s="2">
        <v>62.51</v>
      </c>
      <c r="G22" s="2" t="s">
        <v>127</v>
      </c>
      <c r="H22" s="2" t="s">
        <v>71</v>
      </c>
      <c r="I22" s="2" t="s">
        <v>95</v>
      </c>
      <c r="J22" s="2" t="s">
        <v>128</v>
      </c>
      <c r="K22" s="2">
        <v>9</v>
      </c>
      <c r="L22" s="2" t="s">
        <v>87</v>
      </c>
      <c r="M22" s="2" t="s">
        <v>33</v>
      </c>
      <c r="N22" s="2">
        <v>312.55</v>
      </c>
    </row>
    <row r="23" spans="1:14">
      <c r="A23" s="2" t="s">
        <v>129</v>
      </c>
      <c r="B23" s="2">
        <v>45613</v>
      </c>
      <c r="C23" s="2" t="s">
        <v>130</v>
      </c>
      <c r="D23" s="2" t="s">
        <v>7</v>
      </c>
      <c r="E23" s="2">
        <v>4</v>
      </c>
      <c r="F23" s="2">
        <v>342.95</v>
      </c>
      <c r="G23" s="2" t="s">
        <v>131</v>
      </c>
      <c r="H23" s="2" t="s">
        <v>71</v>
      </c>
      <c r="I23" s="2" t="s">
        <v>57</v>
      </c>
      <c r="J23" s="2" t="s">
        <v>132</v>
      </c>
      <c r="K23" s="2">
        <v>6</v>
      </c>
      <c r="L23" s="2" t="s">
        <v>77</v>
      </c>
      <c r="M23" s="2" t="s">
        <v>82</v>
      </c>
      <c r="N23" s="2">
        <v>1371.8</v>
      </c>
    </row>
    <row r="24" spans="1:14">
      <c r="A24" s="2" t="s">
        <v>133</v>
      </c>
      <c r="B24" s="2">
        <v>44955</v>
      </c>
      <c r="C24" s="2" t="s">
        <v>134</v>
      </c>
      <c r="D24" s="2" t="s">
        <v>7</v>
      </c>
      <c r="E24" s="2">
        <v>2</v>
      </c>
      <c r="F24" s="2">
        <v>49.62</v>
      </c>
      <c r="G24" s="2" t="s">
        <v>135</v>
      </c>
      <c r="H24" s="2" t="s">
        <v>37</v>
      </c>
      <c r="I24" s="2" t="s">
        <v>95</v>
      </c>
      <c r="J24" s="2" t="s">
        <v>136</v>
      </c>
      <c r="K24" s="2">
        <v>2</v>
      </c>
      <c r="L24" s="2" t="s">
        <v>32</v>
      </c>
      <c r="M24" s="2" t="s">
        <v>82</v>
      </c>
      <c r="N24" s="2">
        <v>99.24</v>
      </c>
    </row>
    <row r="25" spans="1:14">
      <c r="A25" s="2" t="s">
        <v>137</v>
      </c>
      <c r="B25" s="2">
        <v>45756</v>
      </c>
      <c r="C25" s="2" t="s">
        <v>138</v>
      </c>
      <c r="D25" s="2" t="s">
        <v>8</v>
      </c>
      <c r="E25" s="2">
        <v>4</v>
      </c>
      <c r="F25" s="2">
        <v>273.25</v>
      </c>
      <c r="G25" s="2" t="s">
        <v>139</v>
      </c>
      <c r="H25" s="2" t="s">
        <v>29</v>
      </c>
      <c r="I25" s="2" t="s">
        <v>44</v>
      </c>
      <c r="J25" s="2" t="s">
        <v>140</v>
      </c>
      <c r="K25" s="2">
        <v>5</v>
      </c>
      <c r="L25" s="2" t="s">
        <v>46</v>
      </c>
      <c r="M25" s="2" t="s">
        <v>39</v>
      </c>
      <c r="N25" s="2">
        <v>1093</v>
      </c>
    </row>
    <row r="26" spans="1:14">
      <c r="A26" s="2" t="s">
        <v>141</v>
      </c>
      <c r="B26" s="2">
        <v>45595</v>
      </c>
      <c r="C26" s="2" t="s">
        <v>142</v>
      </c>
      <c r="D26" s="2" t="s">
        <v>6</v>
      </c>
      <c r="E26" s="2">
        <v>2</v>
      </c>
      <c r="F26" s="2">
        <v>230.95</v>
      </c>
      <c r="G26" s="2" t="s">
        <v>143</v>
      </c>
      <c r="H26" s="2" t="s">
        <v>37</v>
      </c>
      <c r="I26" s="2" t="s">
        <v>57</v>
      </c>
      <c r="J26" s="2" t="s">
        <v>144</v>
      </c>
      <c r="K26" s="2">
        <v>3</v>
      </c>
      <c r="L26" s="2" t="s">
        <v>87</v>
      </c>
      <c r="M26" s="2" t="s">
        <v>39</v>
      </c>
      <c r="N26" s="2">
        <v>461.9</v>
      </c>
    </row>
    <row r="27" spans="1:14">
      <c r="A27" s="2" t="s">
        <v>145</v>
      </c>
      <c r="B27" s="2">
        <v>45497</v>
      </c>
      <c r="C27" s="2" t="s">
        <v>146</v>
      </c>
      <c r="D27" s="2" t="s">
        <v>7</v>
      </c>
      <c r="E27" s="2">
        <v>1</v>
      </c>
      <c r="F27" s="2">
        <v>399.98</v>
      </c>
      <c r="G27" s="2" t="s">
        <v>147</v>
      </c>
      <c r="H27" s="2" t="s">
        <v>29</v>
      </c>
      <c r="I27" s="2" t="s">
        <v>57</v>
      </c>
      <c r="J27" s="2" t="s">
        <v>148</v>
      </c>
      <c r="K27" s="2">
        <v>3</v>
      </c>
      <c r="L27" s="2" t="s">
        <v>87</v>
      </c>
      <c r="M27" s="2" t="s">
        <v>47</v>
      </c>
      <c r="N27" s="2">
        <v>399.98</v>
      </c>
    </row>
    <row r="28" spans="1:14">
      <c r="A28" s="2" t="s">
        <v>149</v>
      </c>
      <c r="B28" s="2">
        <v>45357</v>
      </c>
      <c r="C28" s="2" t="s">
        <v>150</v>
      </c>
      <c r="D28" s="2" t="s">
        <v>6</v>
      </c>
      <c r="E28" s="2">
        <v>5</v>
      </c>
      <c r="F28" s="2">
        <v>59.55</v>
      </c>
      <c r="G28" s="2" t="s">
        <v>151</v>
      </c>
      <c r="H28" s="2" t="s">
        <v>37</v>
      </c>
      <c r="I28" s="2" t="s">
        <v>57</v>
      </c>
      <c r="J28" s="2" t="s">
        <v>152</v>
      </c>
      <c r="K28" s="2">
        <v>6</v>
      </c>
      <c r="L28" s="2" t="s">
        <v>77</v>
      </c>
      <c r="M28" s="2" t="s">
        <v>39</v>
      </c>
      <c r="N28" s="2">
        <v>297.75</v>
      </c>
    </row>
    <row r="29" spans="1:14">
      <c r="A29" s="2" t="s">
        <v>153</v>
      </c>
      <c r="B29" s="2">
        <v>45344</v>
      </c>
      <c r="C29" s="2" t="s">
        <v>154</v>
      </c>
      <c r="D29" s="2" t="s">
        <v>9</v>
      </c>
      <c r="E29" s="2">
        <v>1</v>
      </c>
      <c r="F29" s="2">
        <v>472.74</v>
      </c>
      <c r="G29" s="2" t="s">
        <v>155</v>
      </c>
      <c r="H29" s="2" t="s">
        <v>37</v>
      </c>
      <c r="I29" s="2" t="s">
        <v>30</v>
      </c>
      <c r="J29" s="2" t="s">
        <v>156</v>
      </c>
      <c r="K29" s="2">
        <v>6</v>
      </c>
      <c r="L29" s="2" t="s">
        <v>87</v>
      </c>
      <c r="M29" s="2" t="s">
        <v>82</v>
      </c>
      <c r="N29" s="2">
        <v>472.74</v>
      </c>
    </row>
    <row r="30" spans="1:14">
      <c r="A30" s="2" t="s">
        <v>157</v>
      </c>
      <c r="B30" s="2">
        <v>45251</v>
      </c>
      <c r="C30" s="2" t="s">
        <v>158</v>
      </c>
      <c r="D30" s="2" t="s">
        <v>8</v>
      </c>
      <c r="E30" s="2">
        <v>4</v>
      </c>
      <c r="F30" s="2">
        <v>160.07</v>
      </c>
      <c r="G30" s="2" t="s">
        <v>159</v>
      </c>
      <c r="H30" s="2" t="s">
        <v>37</v>
      </c>
      <c r="I30" s="2" t="s">
        <v>95</v>
      </c>
      <c r="J30" s="2" t="s">
        <v>160</v>
      </c>
      <c r="K30" s="2">
        <v>5</v>
      </c>
      <c r="L30" s="2" t="s">
        <v>77</v>
      </c>
      <c r="M30" s="2" t="s">
        <v>47</v>
      </c>
      <c r="N30" s="2">
        <v>640.28</v>
      </c>
    </row>
    <row r="31" spans="1:14">
      <c r="A31" s="2" t="s">
        <v>161</v>
      </c>
      <c r="B31" s="2">
        <v>45555</v>
      </c>
      <c r="C31" s="2" t="s">
        <v>162</v>
      </c>
      <c r="D31" s="2" t="s">
        <v>5</v>
      </c>
      <c r="E31" s="2">
        <v>3</v>
      </c>
      <c r="F31" s="2">
        <v>423.53</v>
      </c>
      <c r="G31" s="2" t="s">
        <v>163</v>
      </c>
      <c r="H31" s="2" t="s">
        <v>43</v>
      </c>
      <c r="I31" s="2" t="s">
        <v>57</v>
      </c>
      <c r="J31" s="2" t="s">
        <v>164</v>
      </c>
      <c r="K31" s="2">
        <v>6</v>
      </c>
      <c r="L31" s="2" t="s">
        <v>32</v>
      </c>
      <c r="M31" s="2" t="s">
        <v>39</v>
      </c>
      <c r="N31" s="2">
        <v>1270.59</v>
      </c>
    </row>
    <row r="32" spans="1:14">
      <c r="A32" s="2" t="s">
        <v>165</v>
      </c>
      <c r="B32" s="2">
        <v>45738</v>
      </c>
      <c r="C32" s="2" t="s">
        <v>166</v>
      </c>
      <c r="D32" s="2" t="s">
        <v>7</v>
      </c>
      <c r="E32" s="2">
        <v>2</v>
      </c>
      <c r="F32" s="2">
        <v>426.7</v>
      </c>
      <c r="G32" s="2" t="s">
        <v>167</v>
      </c>
      <c r="H32" s="2" t="s">
        <v>37</v>
      </c>
      <c r="I32" s="2" t="s">
        <v>95</v>
      </c>
      <c r="J32" s="2" t="s">
        <v>168</v>
      </c>
      <c r="K32" s="2">
        <v>5</v>
      </c>
      <c r="L32" s="2" t="s">
        <v>32</v>
      </c>
      <c r="M32" s="2" t="s">
        <v>39</v>
      </c>
      <c r="N32" s="2">
        <v>853.4</v>
      </c>
    </row>
    <row r="33" spans="1:14">
      <c r="A33" s="2" t="s">
        <v>169</v>
      </c>
      <c r="B33" s="2">
        <v>45107</v>
      </c>
      <c r="C33" s="2" t="s">
        <v>170</v>
      </c>
      <c r="D33" s="2" t="s">
        <v>4</v>
      </c>
      <c r="E33" s="2">
        <v>3</v>
      </c>
      <c r="F33" s="2">
        <v>500.08</v>
      </c>
      <c r="G33" s="2" t="s">
        <v>171</v>
      </c>
      <c r="H33" s="2" t="s">
        <v>29</v>
      </c>
      <c r="I33" s="2" t="s">
        <v>51</v>
      </c>
      <c r="J33" s="2" t="s">
        <v>172</v>
      </c>
      <c r="K33" s="2">
        <v>6</v>
      </c>
      <c r="L33" s="2" t="s">
        <v>77</v>
      </c>
      <c r="M33" s="2" t="s">
        <v>53</v>
      </c>
      <c r="N33" s="2">
        <v>1500.24</v>
      </c>
    </row>
    <row r="34" spans="1:14">
      <c r="A34" s="2" t="s">
        <v>173</v>
      </c>
      <c r="B34" s="2">
        <v>45047</v>
      </c>
      <c r="C34" s="2" t="s">
        <v>174</v>
      </c>
      <c r="D34" s="2" t="s">
        <v>10</v>
      </c>
      <c r="E34" s="2">
        <v>5</v>
      </c>
      <c r="F34" s="2">
        <v>536.72</v>
      </c>
      <c r="G34" s="2" t="s">
        <v>175</v>
      </c>
      <c r="H34" s="2" t="s">
        <v>71</v>
      </c>
      <c r="I34" s="2" t="s">
        <v>57</v>
      </c>
      <c r="J34" s="2" t="s">
        <v>176</v>
      </c>
      <c r="K34" s="2">
        <v>10</v>
      </c>
      <c r="L34" s="2" t="s">
        <v>77</v>
      </c>
      <c r="M34" s="2" t="s">
        <v>47</v>
      </c>
      <c r="N34" s="2">
        <v>2683.6</v>
      </c>
    </row>
    <row r="35" spans="1:14">
      <c r="A35" s="2" t="s">
        <v>177</v>
      </c>
      <c r="B35" s="2">
        <v>45082</v>
      </c>
      <c r="C35" s="2" t="s">
        <v>178</v>
      </c>
      <c r="D35" s="2" t="s">
        <v>4</v>
      </c>
      <c r="E35" s="2">
        <v>1</v>
      </c>
      <c r="F35" s="2">
        <v>162.77</v>
      </c>
      <c r="G35" s="2" t="s">
        <v>179</v>
      </c>
      <c r="H35" s="2" t="s">
        <v>37</v>
      </c>
      <c r="I35" s="2" t="s">
        <v>44</v>
      </c>
      <c r="J35" s="2" t="s">
        <v>180</v>
      </c>
      <c r="K35" s="2">
        <v>4</v>
      </c>
      <c r="L35" s="2" t="s">
        <v>87</v>
      </c>
      <c r="M35" s="2" t="s">
        <v>53</v>
      </c>
      <c r="N35" s="2">
        <v>162.77</v>
      </c>
    </row>
    <row r="36" spans="1:14">
      <c r="A36" s="2" t="s">
        <v>181</v>
      </c>
      <c r="B36" s="2">
        <v>44933</v>
      </c>
      <c r="C36" s="2" t="s">
        <v>182</v>
      </c>
      <c r="D36" s="2" t="s">
        <v>4</v>
      </c>
      <c r="E36" s="2">
        <v>4</v>
      </c>
      <c r="F36" s="2">
        <v>576.52</v>
      </c>
      <c r="G36" s="2" t="s">
        <v>183</v>
      </c>
      <c r="H36" s="2" t="s">
        <v>43</v>
      </c>
      <c r="I36" s="2" t="s">
        <v>95</v>
      </c>
      <c r="J36" s="2" t="s">
        <v>184</v>
      </c>
      <c r="K36" s="2">
        <v>5</v>
      </c>
      <c r="L36" s="2" t="s">
        <v>87</v>
      </c>
      <c r="M36" s="2" t="s">
        <v>53</v>
      </c>
      <c r="N36" s="2">
        <v>2306.08</v>
      </c>
    </row>
    <row r="37" spans="1:14">
      <c r="A37" s="2" t="s">
        <v>185</v>
      </c>
      <c r="B37" s="2">
        <v>45633</v>
      </c>
      <c r="C37" s="2" t="s">
        <v>186</v>
      </c>
      <c r="D37" s="2" t="s">
        <v>7</v>
      </c>
      <c r="E37" s="2">
        <v>2</v>
      </c>
      <c r="F37" s="2">
        <v>465.15</v>
      </c>
      <c r="G37" s="2" t="s">
        <v>187</v>
      </c>
      <c r="H37" s="2" t="s">
        <v>37</v>
      </c>
      <c r="I37" s="2" t="s">
        <v>30</v>
      </c>
      <c r="J37" s="2" t="s">
        <v>188</v>
      </c>
      <c r="K37" s="2">
        <v>2</v>
      </c>
      <c r="L37" s="2" t="s">
        <v>32</v>
      </c>
      <c r="M37" s="2" t="s">
        <v>53</v>
      </c>
      <c r="N37" s="2">
        <v>930.3</v>
      </c>
    </row>
    <row r="38" spans="1:14">
      <c r="A38" s="2" t="s">
        <v>189</v>
      </c>
      <c r="B38" s="2">
        <v>45785</v>
      </c>
      <c r="C38" s="2" t="s">
        <v>190</v>
      </c>
      <c r="D38" s="2" t="s">
        <v>6</v>
      </c>
      <c r="E38" s="2">
        <v>2</v>
      </c>
      <c r="F38" s="2">
        <v>534.43</v>
      </c>
      <c r="G38" s="2" t="s">
        <v>191</v>
      </c>
      <c r="H38" s="2" t="s">
        <v>29</v>
      </c>
      <c r="I38" s="2" t="s">
        <v>95</v>
      </c>
      <c r="J38" s="2" t="s">
        <v>192</v>
      </c>
      <c r="K38" s="2">
        <v>5</v>
      </c>
      <c r="L38" s="2" t="s">
        <v>77</v>
      </c>
      <c r="M38" s="2" t="s">
        <v>53</v>
      </c>
      <c r="N38" s="2">
        <v>1068.86</v>
      </c>
    </row>
    <row r="39" spans="1:14">
      <c r="A39" s="2" t="s">
        <v>193</v>
      </c>
      <c r="B39" s="2">
        <v>45579</v>
      </c>
      <c r="C39" s="2" t="s">
        <v>194</v>
      </c>
      <c r="D39" s="2" t="s">
        <v>6</v>
      </c>
      <c r="E39" s="2">
        <v>2</v>
      </c>
      <c r="F39" s="2">
        <v>76.74</v>
      </c>
      <c r="G39" s="2" t="s">
        <v>195</v>
      </c>
      <c r="H39" s="2" t="s">
        <v>71</v>
      </c>
      <c r="I39" s="2" t="s">
        <v>51</v>
      </c>
      <c r="J39" s="2" t="s">
        <v>196</v>
      </c>
      <c r="K39" s="2">
        <v>7</v>
      </c>
      <c r="L39" s="2" t="s">
        <v>32</v>
      </c>
      <c r="M39" s="2" t="s">
        <v>33</v>
      </c>
      <c r="N39" s="2">
        <v>153.48</v>
      </c>
    </row>
    <row r="40" spans="1:14">
      <c r="A40" s="2" t="s">
        <v>197</v>
      </c>
      <c r="B40" s="2">
        <v>45645</v>
      </c>
      <c r="C40" s="2" t="s">
        <v>198</v>
      </c>
      <c r="D40" s="2" t="s">
        <v>6</v>
      </c>
      <c r="E40" s="2">
        <v>1</v>
      </c>
      <c r="F40" s="2">
        <v>245.89</v>
      </c>
      <c r="G40" s="2" t="s">
        <v>199</v>
      </c>
      <c r="H40" s="2" t="s">
        <v>29</v>
      </c>
      <c r="I40" s="2" t="s">
        <v>57</v>
      </c>
      <c r="J40" s="2" t="s">
        <v>200</v>
      </c>
      <c r="K40" s="2">
        <v>3</v>
      </c>
      <c r="L40" s="2" t="s">
        <v>32</v>
      </c>
      <c r="M40" s="2" t="s">
        <v>82</v>
      </c>
      <c r="N40" s="2">
        <v>245.89</v>
      </c>
    </row>
    <row r="41" spans="1:14">
      <c r="A41" s="2" t="s">
        <v>201</v>
      </c>
      <c r="B41" s="2">
        <v>45715</v>
      </c>
      <c r="C41" s="2" t="s">
        <v>202</v>
      </c>
      <c r="D41" s="2" t="s">
        <v>9</v>
      </c>
      <c r="E41" s="2">
        <v>3</v>
      </c>
      <c r="F41" s="2">
        <v>256.46</v>
      </c>
      <c r="G41" s="2" t="s">
        <v>203</v>
      </c>
      <c r="H41" s="2" t="s">
        <v>43</v>
      </c>
      <c r="I41" s="2" t="s">
        <v>57</v>
      </c>
      <c r="J41" s="2" t="s">
        <v>204</v>
      </c>
      <c r="K41" s="2">
        <v>4</v>
      </c>
      <c r="L41" s="2" t="s">
        <v>32</v>
      </c>
      <c r="M41" s="2" t="s">
        <v>39</v>
      </c>
      <c r="N41" s="2">
        <v>769.38</v>
      </c>
    </row>
    <row r="42" spans="1:14">
      <c r="A42" s="2" t="s">
        <v>205</v>
      </c>
      <c r="B42" s="2">
        <v>45158</v>
      </c>
      <c r="C42" s="2" t="s">
        <v>206</v>
      </c>
      <c r="D42" s="2" t="s">
        <v>5</v>
      </c>
      <c r="E42" s="2">
        <v>2</v>
      </c>
      <c r="F42" s="2">
        <v>344.02</v>
      </c>
      <c r="G42" s="2" t="s">
        <v>207</v>
      </c>
      <c r="H42" s="2" t="s">
        <v>37</v>
      </c>
      <c r="I42" s="2" t="s">
        <v>57</v>
      </c>
      <c r="J42" s="2" t="s">
        <v>208</v>
      </c>
      <c r="K42" s="2">
        <v>4</v>
      </c>
      <c r="L42" s="2" t="s">
        <v>46</v>
      </c>
      <c r="M42" s="2" t="s">
        <v>33</v>
      </c>
      <c r="N42" s="2">
        <v>688.04</v>
      </c>
    </row>
    <row r="43" spans="1:14">
      <c r="A43" s="2" t="s">
        <v>209</v>
      </c>
      <c r="B43" s="2">
        <v>45265</v>
      </c>
      <c r="C43" s="2" t="s">
        <v>210</v>
      </c>
      <c r="D43" s="2" t="s">
        <v>7</v>
      </c>
      <c r="E43" s="2">
        <v>3</v>
      </c>
      <c r="F43" s="2">
        <v>611.45</v>
      </c>
      <c r="G43" s="2" t="s">
        <v>211</v>
      </c>
      <c r="H43" s="2" t="s">
        <v>66</v>
      </c>
      <c r="I43" s="2" t="s">
        <v>95</v>
      </c>
      <c r="J43" s="2" t="s">
        <v>212</v>
      </c>
      <c r="K43" s="2">
        <v>4</v>
      </c>
      <c r="L43" s="2" t="s">
        <v>46</v>
      </c>
      <c r="M43" s="2" t="s">
        <v>33</v>
      </c>
      <c r="N43" s="2">
        <v>1834.35</v>
      </c>
    </row>
    <row r="44" spans="1:14">
      <c r="A44" s="2" t="s">
        <v>213</v>
      </c>
      <c r="B44" s="2">
        <v>45418</v>
      </c>
      <c r="C44" s="2" t="s">
        <v>214</v>
      </c>
      <c r="D44" s="2" t="s">
        <v>9</v>
      </c>
      <c r="E44" s="2">
        <v>2</v>
      </c>
      <c r="F44" s="2">
        <v>151.66</v>
      </c>
      <c r="G44" s="2" t="s">
        <v>103</v>
      </c>
      <c r="H44" s="2" t="s">
        <v>71</v>
      </c>
      <c r="I44" s="2" t="s">
        <v>44</v>
      </c>
      <c r="J44" s="2" t="s">
        <v>215</v>
      </c>
      <c r="K44" s="2">
        <v>6</v>
      </c>
      <c r="L44" s="2" t="s">
        <v>77</v>
      </c>
      <c r="M44" s="2" t="s">
        <v>33</v>
      </c>
      <c r="N44" s="2">
        <v>303.32</v>
      </c>
    </row>
    <row r="45" spans="1:14">
      <c r="A45" s="2" t="s">
        <v>216</v>
      </c>
      <c r="B45" s="2">
        <v>45274</v>
      </c>
      <c r="C45" s="2" t="s">
        <v>217</v>
      </c>
      <c r="D45" s="2" t="s">
        <v>4</v>
      </c>
      <c r="E45" s="2">
        <v>3</v>
      </c>
      <c r="F45" s="2">
        <v>499.21</v>
      </c>
      <c r="G45" s="2" t="s">
        <v>218</v>
      </c>
      <c r="H45" s="2" t="s">
        <v>37</v>
      </c>
      <c r="I45" s="2" t="s">
        <v>44</v>
      </c>
      <c r="J45" s="2" t="s">
        <v>219</v>
      </c>
      <c r="K45" s="2">
        <v>8</v>
      </c>
      <c r="L45" s="2" t="s">
        <v>77</v>
      </c>
      <c r="M45" s="2" t="s">
        <v>33</v>
      </c>
      <c r="N45" s="2">
        <v>1497.63</v>
      </c>
    </row>
    <row r="46" spans="1:14">
      <c r="A46" s="2" t="s">
        <v>220</v>
      </c>
      <c r="B46" s="2">
        <v>45768</v>
      </c>
      <c r="C46" s="2" t="s">
        <v>221</v>
      </c>
      <c r="D46" s="2" t="s">
        <v>8</v>
      </c>
      <c r="E46" s="2">
        <v>2</v>
      </c>
      <c r="F46" s="2">
        <v>550.18</v>
      </c>
      <c r="G46" s="2" t="s">
        <v>171</v>
      </c>
      <c r="H46" s="2" t="s">
        <v>66</v>
      </c>
      <c r="I46" s="2" t="s">
        <v>51</v>
      </c>
      <c r="J46" s="2" t="s">
        <v>222</v>
      </c>
      <c r="K46" s="2">
        <v>3</v>
      </c>
      <c r="L46" s="2" t="s">
        <v>46</v>
      </c>
      <c r="M46" s="2" t="s">
        <v>39</v>
      </c>
      <c r="N46" s="2">
        <v>1100.36</v>
      </c>
    </row>
    <row r="47" spans="1:14">
      <c r="A47" s="2" t="s">
        <v>223</v>
      </c>
      <c r="B47" s="2">
        <v>45332</v>
      </c>
      <c r="C47" s="2" t="s">
        <v>224</v>
      </c>
      <c r="D47" s="2" t="s">
        <v>4</v>
      </c>
      <c r="E47" s="2">
        <v>1</v>
      </c>
      <c r="F47" s="2">
        <v>317.25</v>
      </c>
      <c r="G47" s="2" t="s">
        <v>225</v>
      </c>
      <c r="H47" s="2" t="s">
        <v>29</v>
      </c>
      <c r="I47" s="2" t="s">
        <v>51</v>
      </c>
      <c r="J47" s="2" t="s">
        <v>226</v>
      </c>
      <c r="K47" s="2">
        <v>1</v>
      </c>
      <c r="L47" s="2" t="s">
        <v>32</v>
      </c>
      <c r="M47" s="2" t="s">
        <v>53</v>
      </c>
      <c r="N47" s="2">
        <v>317.25</v>
      </c>
    </row>
    <row r="48" spans="1:14">
      <c r="A48" s="2" t="s">
        <v>227</v>
      </c>
      <c r="B48" s="2">
        <v>45469</v>
      </c>
      <c r="C48" s="2" t="s">
        <v>228</v>
      </c>
      <c r="D48" s="2" t="s">
        <v>7</v>
      </c>
      <c r="E48" s="2">
        <v>4</v>
      </c>
      <c r="F48" s="2">
        <v>550.14</v>
      </c>
      <c r="G48" s="2" t="s">
        <v>229</v>
      </c>
      <c r="H48" s="2" t="s">
        <v>29</v>
      </c>
      <c r="I48" s="2" t="s">
        <v>95</v>
      </c>
      <c r="J48" s="2" t="s">
        <v>230</v>
      </c>
      <c r="K48" s="2">
        <v>4</v>
      </c>
      <c r="L48" s="2" t="s">
        <v>46</v>
      </c>
      <c r="M48" s="2" t="s">
        <v>33</v>
      </c>
      <c r="N48" s="2">
        <v>2200.56</v>
      </c>
    </row>
    <row r="49" spans="1:14">
      <c r="A49" s="2" t="s">
        <v>231</v>
      </c>
      <c r="B49" s="2">
        <v>45126</v>
      </c>
      <c r="C49" s="2" t="s">
        <v>232</v>
      </c>
      <c r="D49" s="2" t="s">
        <v>5</v>
      </c>
      <c r="E49" s="2">
        <v>2</v>
      </c>
      <c r="F49" s="2">
        <v>209.94</v>
      </c>
      <c r="G49" s="2" t="s">
        <v>233</v>
      </c>
      <c r="H49" s="2" t="s">
        <v>43</v>
      </c>
      <c r="I49" s="2" t="s">
        <v>51</v>
      </c>
      <c r="J49" s="2" t="s">
        <v>234</v>
      </c>
      <c r="K49" s="2">
        <v>3</v>
      </c>
      <c r="L49" s="2" t="s">
        <v>46</v>
      </c>
      <c r="M49" s="2" t="s">
        <v>47</v>
      </c>
      <c r="N49" s="2">
        <v>419.88</v>
      </c>
    </row>
    <row r="50" spans="1:14">
      <c r="A50" s="2" t="s">
        <v>235</v>
      </c>
      <c r="B50" s="2">
        <v>45164</v>
      </c>
      <c r="C50" s="2" t="s">
        <v>236</v>
      </c>
      <c r="D50" s="2" t="s">
        <v>7</v>
      </c>
      <c r="E50" s="2">
        <v>2</v>
      </c>
      <c r="F50" s="2">
        <v>80.77</v>
      </c>
      <c r="G50" s="2" t="s">
        <v>237</v>
      </c>
      <c r="H50" s="2" t="s">
        <v>29</v>
      </c>
      <c r="I50" s="2" t="s">
        <v>30</v>
      </c>
      <c r="J50" s="2" t="s">
        <v>238</v>
      </c>
      <c r="K50" s="2">
        <v>4</v>
      </c>
      <c r="L50" s="2" t="s">
        <v>77</v>
      </c>
      <c r="M50" s="2" t="s">
        <v>82</v>
      </c>
      <c r="N50" s="2">
        <v>161.54</v>
      </c>
    </row>
    <row r="51" spans="1:14">
      <c r="A51" s="2" t="s">
        <v>239</v>
      </c>
      <c r="B51" s="2">
        <v>45206</v>
      </c>
      <c r="C51" s="2" t="s">
        <v>240</v>
      </c>
      <c r="D51" s="2" t="s">
        <v>9</v>
      </c>
      <c r="E51" s="2">
        <v>1</v>
      </c>
      <c r="F51" s="2">
        <v>30.44</v>
      </c>
      <c r="G51" s="2" t="s">
        <v>135</v>
      </c>
      <c r="H51" s="2" t="s">
        <v>43</v>
      </c>
      <c r="I51" s="2" t="s">
        <v>30</v>
      </c>
      <c r="J51" s="2" t="s">
        <v>241</v>
      </c>
      <c r="K51" s="2">
        <v>1</v>
      </c>
      <c r="L51" s="2" t="s">
        <v>32</v>
      </c>
      <c r="M51" s="2" t="s">
        <v>47</v>
      </c>
      <c r="N51" s="2">
        <v>30.44</v>
      </c>
    </row>
    <row r="52" spans="1:14">
      <c r="A52" s="2" t="s">
        <v>242</v>
      </c>
      <c r="B52" s="2">
        <v>45138</v>
      </c>
      <c r="C52" s="2" t="s">
        <v>243</v>
      </c>
      <c r="D52" s="2" t="s">
        <v>10</v>
      </c>
      <c r="E52" s="2">
        <v>1</v>
      </c>
      <c r="F52" s="2">
        <v>179.22</v>
      </c>
      <c r="G52" s="2" t="s">
        <v>244</v>
      </c>
      <c r="H52" s="2" t="s">
        <v>37</v>
      </c>
      <c r="I52" s="2" t="s">
        <v>44</v>
      </c>
      <c r="J52" s="2" t="s">
        <v>245</v>
      </c>
      <c r="K52" s="2">
        <v>6</v>
      </c>
      <c r="L52" s="2" t="s">
        <v>46</v>
      </c>
      <c r="M52" s="2" t="s">
        <v>33</v>
      </c>
      <c r="N52" s="2">
        <v>179.22</v>
      </c>
    </row>
    <row r="53" spans="1:14">
      <c r="A53" s="2" t="s">
        <v>246</v>
      </c>
      <c r="B53" s="2">
        <v>45656</v>
      </c>
      <c r="C53" s="2" t="s">
        <v>247</v>
      </c>
      <c r="D53" s="2" t="s">
        <v>10</v>
      </c>
      <c r="E53" s="2">
        <v>1</v>
      </c>
      <c r="F53" s="2">
        <v>388.33</v>
      </c>
      <c r="G53" s="2" t="s">
        <v>248</v>
      </c>
      <c r="H53" s="2" t="s">
        <v>71</v>
      </c>
      <c r="I53" s="2" t="s">
        <v>51</v>
      </c>
      <c r="J53" s="2" t="s">
        <v>249</v>
      </c>
      <c r="K53" s="2">
        <v>2</v>
      </c>
      <c r="L53" s="2" t="s">
        <v>32</v>
      </c>
      <c r="M53" s="2" t="s">
        <v>53</v>
      </c>
      <c r="N53" s="2">
        <v>388.33</v>
      </c>
    </row>
    <row r="54" spans="1:14">
      <c r="A54" s="2" t="s">
        <v>250</v>
      </c>
      <c r="B54" s="2">
        <v>45543</v>
      </c>
      <c r="C54" s="2" t="s">
        <v>251</v>
      </c>
      <c r="D54" s="2" t="s">
        <v>10</v>
      </c>
      <c r="E54" s="2">
        <v>1</v>
      </c>
      <c r="F54" s="2">
        <v>586.44</v>
      </c>
      <c r="G54" s="2" t="s">
        <v>252</v>
      </c>
      <c r="H54" s="2" t="s">
        <v>37</v>
      </c>
      <c r="I54" s="2" t="s">
        <v>51</v>
      </c>
      <c r="J54" s="2" t="s">
        <v>253</v>
      </c>
      <c r="K54" s="2">
        <v>5</v>
      </c>
      <c r="L54" s="2" t="s">
        <v>32</v>
      </c>
      <c r="M54" s="2" t="s">
        <v>53</v>
      </c>
      <c r="N54" s="2">
        <v>586.44</v>
      </c>
    </row>
    <row r="55" spans="1:14">
      <c r="A55" s="2" t="s">
        <v>254</v>
      </c>
      <c r="B55" s="2">
        <v>45430</v>
      </c>
      <c r="C55" s="2" t="s">
        <v>255</v>
      </c>
      <c r="D55" s="2" t="s">
        <v>8</v>
      </c>
      <c r="E55" s="2">
        <v>4</v>
      </c>
      <c r="F55" s="2">
        <v>488.78</v>
      </c>
      <c r="G55" s="2" t="s">
        <v>42</v>
      </c>
      <c r="H55" s="2" t="s">
        <v>37</v>
      </c>
      <c r="I55" s="2" t="s">
        <v>51</v>
      </c>
      <c r="J55" s="2" t="s">
        <v>256</v>
      </c>
      <c r="K55" s="2">
        <v>5</v>
      </c>
      <c r="L55" s="2" t="s">
        <v>46</v>
      </c>
      <c r="M55" s="2" t="s">
        <v>82</v>
      </c>
      <c r="N55" s="2">
        <v>1955.12</v>
      </c>
    </row>
    <row r="56" spans="1:14">
      <c r="A56" s="2" t="s">
        <v>257</v>
      </c>
      <c r="B56" s="2">
        <v>45743</v>
      </c>
      <c r="C56" s="2" t="s">
        <v>258</v>
      </c>
      <c r="D56" s="2" t="s">
        <v>4</v>
      </c>
      <c r="E56" s="2">
        <v>1</v>
      </c>
      <c r="F56" s="2">
        <v>280.25</v>
      </c>
      <c r="G56" s="2" t="s">
        <v>259</v>
      </c>
      <c r="H56" s="2" t="s">
        <v>37</v>
      </c>
      <c r="I56" s="2" t="s">
        <v>95</v>
      </c>
      <c r="J56" s="2" t="s">
        <v>260</v>
      </c>
      <c r="K56" s="2">
        <v>5</v>
      </c>
      <c r="L56" s="2" t="s">
        <v>87</v>
      </c>
      <c r="M56" s="2" t="s">
        <v>47</v>
      </c>
      <c r="N56" s="2">
        <v>280.25</v>
      </c>
    </row>
    <row r="57" spans="1:14">
      <c r="A57" s="2" t="s">
        <v>261</v>
      </c>
      <c r="B57" s="2">
        <v>45832</v>
      </c>
      <c r="C57" s="2" t="s">
        <v>262</v>
      </c>
      <c r="D57" s="2" t="s">
        <v>9</v>
      </c>
      <c r="E57" s="2">
        <v>3</v>
      </c>
      <c r="F57" s="2">
        <v>344.4</v>
      </c>
      <c r="G57" s="2" t="s">
        <v>263</v>
      </c>
      <c r="H57" s="2" t="s">
        <v>37</v>
      </c>
      <c r="I57" s="2" t="s">
        <v>44</v>
      </c>
      <c r="J57" s="2" t="s">
        <v>264</v>
      </c>
      <c r="K57" s="2">
        <v>3</v>
      </c>
      <c r="L57" s="2" t="s">
        <v>77</v>
      </c>
      <c r="M57" s="2" t="s">
        <v>53</v>
      </c>
      <c r="N57" s="2">
        <v>1033.2</v>
      </c>
    </row>
    <row r="58" spans="1:14">
      <c r="A58" s="2" t="s">
        <v>265</v>
      </c>
      <c r="B58" s="2">
        <v>45067</v>
      </c>
      <c r="C58" s="2" t="s">
        <v>266</v>
      </c>
      <c r="D58" s="2" t="s">
        <v>10</v>
      </c>
      <c r="E58" s="2">
        <v>3</v>
      </c>
      <c r="F58" s="2">
        <v>479.21</v>
      </c>
      <c r="G58" s="2" t="s">
        <v>267</v>
      </c>
      <c r="H58" s="2" t="s">
        <v>71</v>
      </c>
      <c r="I58" s="2" t="s">
        <v>44</v>
      </c>
      <c r="J58" s="2" t="s">
        <v>268</v>
      </c>
      <c r="K58" s="2">
        <v>5</v>
      </c>
      <c r="L58" s="2" t="s">
        <v>87</v>
      </c>
      <c r="M58" s="2" t="s">
        <v>39</v>
      </c>
      <c r="N58" s="2">
        <v>1437.63</v>
      </c>
    </row>
    <row r="59" spans="1:14">
      <c r="A59" s="2" t="s">
        <v>269</v>
      </c>
      <c r="B59" s="2">
        <v>44948</v>
      </c>
      <c r="C59" s="2" t="s">
        <v>270</v>
      </c>
      <c r="D59" s="2" t="s">
        <v>9</v>
      </c>
      <c r="E59" s="2">
        <v>5</v>
      </c>
      <c r="F59" s="2">
        <v>314.27</v>
      </c>
      <c r="G59" s="2" t="s">
        <v>271</v>
      </c>
      <c r="H59" s="2" t="s">
        <v>71</v>
      </c>
      <c r="I59" s="2" t="s">
        <v>51</v>
      </c>
      <c r="J59" s="2" t="s">
        <v>272</v>
      </c>
      <c r="K59" s="2">
        <v>6</v>
      </c>
      <c r="L59" s="2" t="s">
        <v>32</v>
      </c>
      <c r="M59" s="2" t="s">
        <v>33</v>
      </c>
      <c r="N59" s="2">
        <v>1571.35</v>
      </c>
    </row>
    <row r="60" spans="1:14">
      <c r="A60" s="2" t="s">
        <v>273</v>
      </c>
      <c r="B60" s="2">
        <v>44941</v>
      </c>
      <c r="C60" s="2" t="s">
        <v>274</v>
      </c>
      <c r="D60" s="2" t="s">
        <v>8</v>
      </c>
      <c r="E60" s="2">
        <v>4</v>
      </c>
      <c r="F60" s="2">
        <v>474.69</v>
      </c>
      <c r="G60" s="2" t="s">
        <v>275</v>
      </c>
      <c r="H60" s="2" t="s">
        <v>66</v>
      </c>
      <c r="I60" s="2" t="s">
        <v>44</v>
      </c>
      <c r="J60" s="2" t="s">
        <v>276</v>
      </c>
      <c r="K60" s="2">
        <v>6</v>
      </c>
      <c r="L60" s="2" t="s">
        <v>32</v>
      </c>
      <c r="M60" s="2" t="s">
        <v>82</v>
      </c>
      <c r="N60" s="2">
        <v>1898.76</v>
      </c>
    </row>
    <row r="61" spans="1:14">
      <c r="A61" s="2" t="s">
        <v>277</v>
      </c>
      <c r="B61" s="2">
        <v>45546</v>
      </c>
      <c r="C61" s="2" t="s">
        <v>278</v>
      </c>
      <c r="D61" s="2" t="s">
        <v>4</v>
      </c>
      <c r="E61" s="2">
        <v>4</v>
      </c>
      <c r="F61" s="2">
        <v>593.27</v>
      </c>
      <c r="G61" s="2" t="s">
        <v>279</v>
      </c>
      <c r="H61" s="2" t="s">
        <v>37</v>
      </c>
      <c r="I61" s="2" t="s">
        <v>30</v>
      </c>
      <c r="J61" s="2" t="s">
        <v>280</v>
      </c>
      <c r="K61" s="2">
        <v>5</v>
      </c>
      <c r="L61" s="2" t="s">
        <v>77</v>
      </c>
      <c r="M61" s="2" t="s">
        <v>53</v>
      </c>
      <c r="N61" s="2">
        <v>2373.08</v>
      </c>
    </row>
    <row r="62" spans="1:14">
      <c r="A62" s="2" t="s">
        <v>281</v>
      </c>
      <c r="B62" s="2">
        <v>45525</v>
      </c>
      <c r="C62" s="2" t="s">
        <v>282</v>
      </c>
      <c r="D62" s="2" t="s">
        <v>5</v>
      </c>
      <c r="E62" s="2">
        <v>1</v>
      </c>
      <c r="F62" s="2">
        <v>417.1</v>
      </c>
      <c r="G62" s="2" t="s">
        <v>283</v>
      </c>
      <c r="H62" s="2" t="s">
        <v>29</v>
      </c>
      <c r="I62" s="2" t="s">
        <v>51</v>
      </c>
      <c r="J62" s="2" t="s">
        <v>284</v>
      </c>
      <c r="K62" s="2">
        <v>3</v>
      </c>
      <c r="L62" s="2" t="s">
        <v>46</v>
      </c>
      <c r="M62" s="2" t="s">
        <v>39</v>
      </c>
      <c r="N62" s="2">
        <v>417.1</v>
      </c>
    </row>
    <row r="63" spans="1:14">
      <c r="A63" s="2" t="s">
        <v>285</v>
      </c>
      <c r="B63" s="2">
        <v>45375</v>
      </c>
      <c r="C63" s="2" t="s">
        <v>286</v>
      </c>
      <c r="D63" s="2" t="s">
        <v>5</v>
      </c>
      <c r="E63" s="2">
        <v>4</v>
      </c>
      <c r="F63" s="2">
        <v>122.2</v>
      </c>
      <c r="G63" s="2" t="s">
        <v>287</v>
      </c>
      <c r="H63" s="2" t="s">
        <v>71</v>
      </c>
      <c r="I63" s="2" t="s">
        <v>57</v>
      </c>
      <c r="J63" s="2" t="s">
        <v>288</v>
      </c>
      <c r="K63" s="2">
        <v>7</v>
      </c>
      <c r="L63" s="2" t="s">
        <v>46</v>
      </c>
      <c r="M63" s="2" t="s">
        <v>53</v>
      </c>
      <c r="N63" s="2">
        <v>488.8</v>
      </c>
    </row>
    <row r="64" spans="1:14">
      <c r="A64" s="2" t="s">
        <v>289</v>
      </c>
      <c r="B64" s="2">
        <v>45160</v>
      </c>
      <c r="C64" s="2" t="s">
        <v>290</v>
      </c>
      <c r="D64" s="2" t="s">
        <v>5</v>
      </c>
      <c r="E64" s="2">
        <v>2</v>
      </c>
      <c r="F64" s="2">
        <v>43.15</v>
      </c>
      <c r="G64" s="2" t="s">
        <v>291</v>
      </c>
      <c r="H64" s="2" t="s">
        <v>29</v>
      </c>
      <c r="I64" s="2" t="s">
        <v>95</v>
      </c>
      <c r="J64" s="2" t="s">
        <v>292</v>
      </c>
      <c r="K64" s="2">
        <v>3</v>
      </c>
      <c r="L64" s="2" t="s">
        <v>87</v>
      </c>
      <c r="M64" s="2" t="s">
        <v>47</v>
      </c>
      <c r="N64" s="2">
        <v>86.3</v>
      </c>
    </row>
    <row r="65" spans="1:14">
      <c r="A65" s="2" t="s">
        <v>293</v>
      </c>
      <c r="B65" s="2">
        <v>45690</v>
      </c>
      <c r="C65" s="2" t="s">
        <v>294</v>
      </c>
      <c r="D65" s="2" t="s">
        <v>4</v>
      </c>
      <c r="E65" s="2">
        <v>1</v>
      </c>
      <c r="F65" s="2">
        <v>564.86</v>
      </c>
      <c r="G65" s="2" t="s">
        <v>295</v>
      </c>
      <c r="H65" s="2" t="s">
        <v>29</v>
      </c>
      <c r="I65" s="2" t="s">
        <v>30</v>
      </c>
      <c r="J65" s="2" t="s">
        <v>296</v>
      </c>
      <c r="K65" s="2">
        <v>6</v>
      </c>
      <c r="L65" s="2" t="s">
        <v>87</v>
      </c>
      <c r="M65" s="2" t="s">
        <v>39</v>
      </c>
      <c r="N65" s="2">
        <v>564.86</v>
      </c>
    </row>
    <row r="66" spans="1:14">
      <c r="A66" s="2" t="s">
        <v>297</v>
      </c>
      <c r="B66" s="2">
        <v>45833</v>
      </c>
      <c r="C66" s="2" t="s">
        <v>298</v>
      </c>
      <c r="D66" s="2" t="s">
        <v>9</v>
      </c>
      <c r="E66" s="2">
        <v>3</v>
      </c>
      <c r="F66" s="2">
        <v>130.61</v>
      </c>
      <c r="G66" s="2" t="s">
        <v>299</v>
      </c>
      <c r="H66" s="2" t="s">
        <v>29</v>
      </c>
      <c r="I66" s="2" t="s">
        <v>44</v>
      </c>
      <c r="J66" s="2" t="s">
        <v>300</v>
      </c>
      <c r="K66" s="2">
        <v>4</v>
      </c>
      <c r="L66" s="2" t="s">
        <v>46</v>
      </c>
      <c r="M66" s="2" t="s">
        <v>53</v>
      </c>
      <c r="N66" s="2">
        <v>391.83</v>
      </c>
    </row>
    <row r="67" spans="1:14">
      <c r="A67" s="2" t="s">
        <v>301</v>
      </c>
      <c r="B67" s="2">
        <v>45290</v>
      </c>
      <c r="C67" s="2" t="s">
        <v>302</v>
      </c>
      <c r="D67" s="2" t="s">
        <v>7</v>
      </c>
      <c r="E67" s="2">
        <v>5</v>
      </c>
      <c r="F67" s="2">
        <v>81.7</v>
      </c>
      <c r="G67" s="2" t="s">
        <v>303</v>
      </c>
      <c r="H67" s="2" t="s">
        <v>43</v>
      </c>
      <c r="I67" s="2" t="s">
        <v>57</v>
      </c>
      <c r="J67" s="2" t="s">
        <v>304</v>
      </c>
      <c r="K67" s="2">
        <v>6</v>
      </c>
      <c r="L67" s="2" t="s">
        <v>77</v>
      </c>
      <c r="M67" s="2" t="s">
        <v>33</v>
      </c>
      <c r="N67" s="2">
        <v>408.5</v>
      </c>
    </row>
    <row r="68" spans="1:14">
      <c r="A68" s="2" t="s">
        <v>305</v>
      </c>
      <c r="B68" s="2">
        <v>45611</v>
      </c>
      <c r="C68" s="2" t="s">
        <v>306</v>
      </c>
      <c r="D68" s="2" t="s">
        <v>4</v>
      </c>
      <c r="E68" s="2">
        <v>5</v>
      </c>
      <c r="F68" s="2">
        <v>127.18</v>
      </c>
      <c r="G68" s="2" t="s">
        <v>307</v>
      </c>
      <c r="H68" s="2" t="s">
        <v>71</v>
      </c>
      <c r="I68" s="2" t="s">
        <v>44</v>
      </c>
      <c r="J68" s="2" t="s">
        <v>308</v>
      </c>
      <c r="K68" s="2">
        <v>9</v>
      </c>
      <c r="L68" s="2" t="s">
        <v>32</v>
      </c>
      <c r="M68" s="2" t="s">
        <v>39</v>
      </c>
      <c r="N68" s="2">
        <v>635.9</v>
      </c>
    </row>
    <row r="69" spans="1:14">
      <c r="A69" s="2" t="s">
        <v>309</v>
      </c>
      <c r="B69" s="2">
        <v>45635</v>
      </c>
      <c r="C69" s="2" t="s">
        <v>310</v>
      </c>
      <c r="D69" s="2" t="s">
        <v>9</v>
      </c>
      <c r="E69" s="2">
        <v>4</v>
      </c>
      <c r="F69" s="2">
        <v>12.1</v>
      </c>
      <c r="G69" s="2" t="s">
        <v>311</v>
      </c>
      <c r="H69" s="2" t="s">
        <v>29</v>
      </c>
      <c r="I69" s="2" t="s">
        <v>44</v>
      </c>
      <c r="J69" s="2" t="s">
        <v>312</v>
      </c>
      <c r="K69" s="2">
        <v>8</v>
      </c>
      <c r="L69" s="2" t="s">
        <v>77</v>
      </c>
      <c r="M69" s="2" t="s">
        <v>82</v>
      </c>
      <c r="N69" s="2">
        <v>48.4</v>
      </c>
    </row>
    <row r="70" spans="1:14">
      <c r="A70" s="2" t="s">
        <v>313</v>
      </c>
      <c r="B70" s="2">
        <v>45271</v>
      </c>
      <c r="C70" s="2" t="s">
        <v>314</v>
      </c>
      <c r="D70" s="2" t="s">
        <v>4</v>
      </c>
      <c r="E70" s="2">
        <v>3</v>
      </c>
      <c r="F70" s="2">
        <v>490.92</v>
      </c>
      <c r="G70" s="2" t="s">
        <v>147</v>
      </c>
      <c r="H70" s="2" t="s">
        <v>43</v>
      </c>
      <c r="I70" s="2" t="s">
        <v>95</v>
      </c>
      <c r="J70" s="2" t="s">
        <v>315</v>
      </c>
      <c r="K70" s="2">
        <v>5</v>
      </c>
      <c r="L70" s="2" t="s">
        <v>46</v>
      </c>
      <c r="M70" s="2" t="s">
        <v>47</v>
      </c>
      <c r="N70" s="2">
        <v>1472.76</v>
      </c>
    </row>
    <row r="71" spans="1:14">
      <c r="A71" s="2" t="s">
        <v>316</v>
      </c>
      <c r="B71" s="2">
        <v>45057</v>
      </c>
      <c r="C71" s="2" t="s">
        <v>317</v>
      </c>
      <c r="D71" s="2" t="s">
        <v>7</v>
      </c>
      <c r="E71" s="2">
        <v>3</v>
      </c>
      <c r="F71" s="2">
        <v>478.65</v>
      </c>
      <c r="G71" s="2" t="s">
        <v>318</v>
      </c>
      <c r="H71" s="2" t="s">
        <v>37</v>
      </c>
      <c r="I71" s="2" t="s">
        <v>30</v>
      </c>
      <c r="J71" s="2" t="s">
        <v>319</v>
      </c>
      <c r="K71" s="2">
        <v>4</v>
      </c>
      <c r="L71" s="2" t="s">
        <v>77</v>
      </c>
      <c r="M71" s="2" t="s">
        <v>39</v>
      </c>
      <c r="N71" s="2">
        <v>1435.95</v>
      </c>
    </row>
    <row r="72" spans="1:14">
      <c r="A72" s="2" t="s">
        <v>320</v>
      </c>
      <c r="B72" s="2">
        <v>45072</v>
      </c>
      <c r="C72" s="2" t="s">
        <v>321</v>
      </c>
      <c r="D72" s="2" t="s">
        <v>5</v>
      </c>
      <c r="E72" s="2">
        <v>1</v>
      </c>
      <c r="F72" s="2">
        <v>629.21</v>
      </c>
      <c r="G72" s="2" t="s">
        <v>322</v>
      </c>
      <c r="H72" s="2" t="s">
        <v>66</v>
      </c>
      <c r="I72" s="2" t="s">
        <v>95</v>
      </c>
      <c r="J72" s="2" t="s">
        <v>323</v>
      </c>
      <c r="K72" s="2">
        <v>2</v>
      </c>
      <c r="L72" s="2" t="s">
        <v>46</v>
      </c>
      <c r="M72" s="2" t="s">
        <v>33</v>
      </c>
      <c r="N72" s="2">
        <v>629.21</v>
      </c>
    </row>
    <row r="73" spans="1:14">
      <c r="A73" s="2" t="s">
        <v>324</v>
      </c>
      <c r="B73" s="2">
        <v>45818</v>
      </c>
      <c r="C73" s="2" t="s">
        <v>325</v>
      </c>
      <c r="D73" s="2" t="s">
        <v>7</v>
      </c>
      <c r="E73" s="2">
        <v>3</v>
      </c>
      <c r="F73" s="2">
        <v>434.45</v>
      </c>
      <c r="G73" s="2" t="s">
        <v>326</v>
      </c>
      <c r="H73" s="2" t="s">
        <v>43</v>
      </c>
      <c r="I73" s="2" t="s">
        <v>95</v>
      </c>
      <c r="J73" s="2" t="s">
        <v>327</v>
      </c>
      <c r="K73" s="2">
        <v>4</v>
      </c>
      <c r="L73" s="2" t="s">
        <v>77</v>
      </c>
      <c r="M73" s="2" t="s">
        <v>39</v>
      </c>
      <c r="N73" s="2">
        <v>1303.35</v>
      </c>
    </row>
    <row r="74" spans="1:14">
      <c r="A74" s="2" t="s">
        <v>328</v>
      </c>
      <c r="B74" s="2">
        <v>45648</v>
      </c>
      <c r="C74" s="2" t="s">
        <v>329</v>
      </c>
      <c r="D74" s="2" t="s">
        <v>10</v>
      </c>
      <c r="E74" s="2">
        <v>4</v>
      </c>
      <c r="F74" s="2">
        <v>589.44</v>
      </c>
      <c r="G74" s="2" t="s">
        <v>107</v>
      </c>
      <c r="H74" s="2" t="s">
        <v>66</v>
      </c>
      <c r="I74" s="2" t="s">
        <v>51</v>
      </c>
      <c r="J74" s="2" t="s">
        <v>330</v>
      </c>
      <c r="K74" s="2">
        <v>5</v>
      </c>
      <c r="L74" s="2" t="s">
        <v>77</v>
      </c>
      <c r="M74" s="2" t="s">
        <v>53</v>
      </c>
      <c r="N74" s="2">
        <v>2357.76</v>
      </c>
    </row>
    <row r="75" spans="1:14">
      <c r="A75" s="2" t="s">
        <v>331</v>
      </c>
      <c r="B75" s="2">
        <v>45049</v>
      </c>
      <c r="C75" s="2" t="s">
        <v>332</v>
      </c>
      <c r="D75" s="2" t="s">
        <v>7</v>
      </c>
      <c r="E75" s="2">
        <v>4</v>
      </c>
      <c r="F75" s="2">
        <v>433.45</v>
      </c>
      <c r="G75" s="2" t="s">
        <v>333</v>
      </c>
      <c r="H75" s="2" t="s">
        <v>66</v>
      </c>
      <c r="I75" s="2" t="s">
        <v>44</v>
      </c>
      <c r="J75" s="2" t="s">
        <v>334</v>
      </c>
      <c r="K75" s="2">
        <v>4</v>
      </c>
      <c r="L75" s="2" t="s">
        <v>77</v>
      </c>
      <c r="M75" s="2" t="s">
        <v>53</v>
      </c>
      <c r="N75" s="2">
        <v>1733.8</v>
      </c>
    </row>
    <row r="76" spans="1:14">
      <c r="A76" s="2" t="s">
        <v>335</v>
      </c>
      <c r="B76" s="2">
        <v>45101</v>
      </c>
      <c r="C76" s="2" t="s">
        <v>336</v>
      </c>
      <c r="D76" s="2" t="s">
        <v>8</v>
      </c>
      <c r="E76" s="2">
        <v>5</v>
      </c>
      <c r="F76" s="2">
        <v>90.87</v>
      </c>
      <c r="G76" s="2" t="s">
        <v>337</v>
      </c>
      <c r="H76" s="2" t="s">
        <v>71</v>
      </c>
      <c r="I76" s="2" t="s">
        <v>95</v>
      </c>
      <c r="J76" s="2" t="s">
        <v>338</v>
      </c>
      <c r="K76" s="2">
        <v>5</v>
      </c>
      <c r="L76" s="2" t="s">
        <v>77</v>
      </c>
      <c r="M76" s="2" t="s">
        <v>33</v>
      </c>
      <c r="N76" s="2">
        <v>454.35</v>
      </c>
    </row>
    <row r="77" spans="1:14">
      <c r="A77" s="2" t="s">
        <v>339</v>
      </c>
      <c r="B77" s="2">
        <v>45195</v>
      </c>
      <c r="C77" s="2" t="s">
        <v>340</v>
      </c>
      <c r="D77" s="2" t="s">
        <v>10</v>
      </c>
      <c r="E77" s="2">
        <v>3</v>
      </c>
      <c r="F77" s="2">
        <v>398.17</v>
      </c>
      <c r="G77" s="2" t="s">
        <v>341</v>
      </c>
      <c r="H77" s="2" t="s">
        <v>29</v>
      </c>
      <c r="I77" s="2" t="s">
        <v>57</v>
      </c>
      <c r="J77" s="2" t="s">
        <v>342</v>
      </c>
      <c r="K77" s="2">
        <v>5</v>
      </c>
      <c r="L77" s="2" t="s">
        <v>32</v>
      </c>
      <c r="M77" s="2" t="s">
        <v>47</v>
      </c>
      <c r="N77" s="2">
        <v>1194.51</v>
      </c>
    </row>
    <row r="78" spans="1:14">
      <c r="A78" s="2" t="s">
        <v>343</v>
      </c>
      <c r="B78" s="2">
        <v>45382</v>
      </c>
      <c r="C78" s="2" t="s">
        <v>344</v>
      </c>
      <c r="D78" s="2" t="s">
        <v>6</v>
      </c>
      <c r="E78" s="2">
        <v>4</v>
      </c>
      <c r="F78" s="2">
        <v>382.88</v>
      </c>
      <c r="G78" s="2" t="s">
        <v>345</v>
      </c>
      <c r="H78" s="2" t="s">
        <v>71</v>
      </c>
      <c r="I78" s="2" t="s">
        <v>44</v>
      </c>
      <c r="J78" s="2" t="s">
        <v>346</v>
      </c>
      <c r="K78" s="2">
        <v>6</v>
      </c>
      <c r="L78" s="2" t="s">
        <v>87</v>
      </c>
      <c r="M78" s="2" t="s">
        <v>47</v>
      </c>
      <c r="N78" s="2">
        <v>1531.52</v>
      </c>
    </row>
    <row r="79" spans="1:14">
      <c r="A79" s="2" t="s">
        <v>347</v>
      </c>
      <c r="B79" s="2">
        <v>45436</v>
      </c>
      <c r="C79" s="2" t="s">
        <v>348</v>
      </c>
      <c r="D79" s="2" t="s">
        <v>8</v>
      </c>
      <c r="E79" s="2">
        <v>1</v>
      </c>
      <c r="F79" s="2">
        <v>583.18</v>
      </c>
      <c r="G79" s="2" t="s">
        <v>349</v>
      </c>
      <c r="H79" s="2" t="s">
        <v>43</v>
      </c>
      <c r="I79" s="2" t="s">
        <v>51</v>
      </c>
      <c r="J79" s="2" t="s">
        <v>350</v>
      </c>
      <c r="K79" s="2">
        <v>5</v>
      </c>
      <c r="L79" s="2" t="s">
        <v>77</v>
      </c>
      <c r="M79" s="2" t="s">
        <v>82</v>
      </c>
      <c r="N79" s="2">
        <v>583.18</v>
      </c>
    </row>
    <row r="80" spans="1:14">
      <c r="A80" s="2" t="s">
        <v>351</v>
      </c>
      <c r="B80" s="2">
        <v>45510</v>
      </c>
      <c r="C80" s="2" t="s">
        <v>352</v>
      </c>
      <c r="D80" s="2" t="s">
        <v>9</v>
      </c>
      <c r="E80" s="2">
        <v>4</v>
      </c>
      <c r="F80" s="2">
        <v>175.36</v>
      </c>
      <c r="G80" s="2" t="s">
        <v>353</v>
      </c>
      <c r="H80" s="2" t="s">
        <v>29</v>
      </c>
      <c r="I80" s="2" t="s">
        <v>57</v>
      </c>
      <c r="J80" s="2" t="s">
        <v>354</v>
      </c>
      <c r="K80" s="2">
        <v>4</v>
      </c>
      <c r="L80" s="2" t="s">
        <v>46</v>
      </c>
      <c r="M80" s="2" t="s">
        <v>33</v>
      </c>
      <c r="N80" s="2">
        <v>701.44</v>
      </c>
    </row>
    <row r="81" spans="1:14">
      <c r="A81" s="2" t="s">
        <v>355</v>
      </c>
      <c r="B81" s="2">
        <v>45726</v>
      </c>
      <c r="C81" s="2" t="s">
        <v>356</v>
      </c>
      <c r="D81" s="2" t="s">
        <v>10</v>
      </c>
      <c r="E81" s="2">
        <v>2</v>
      </c>
      <c r="F81" s="2">
        <v>311.91</v>
      </c>
      <c r="G81" s="2" t="s">
        <v>357</v>
      </c>
      <c r="H81" s="2" t="s">
        <v>37</v>
      </c>
      <c r="I81" s="2" t="s">
        <v>30</v>
      </c>
      <c r="J81" s="2" t="s">
        <v>358</v>
      </c>
      <c r="K81" s="2">
        <v>2</v>
      </c>
      <c r="L81" s="2" t="s">
        <v>77</v>
      </c>
      <c r="M81" s="2" t="s">
        <v>53</v>
      </c>
      <c r="N81" s="2">
        <v>623.82</v>
      </c>
    </row>
    <row r="82" spans="1:14">
      <c r="A82" s="2" t="s">
        <v>359</v>
      </c>
      <c r="B82" s="2">
        <v>45104</v>
      </c>
      <c r="C82" s="2" t="s">
        <v>360</v>
      </c>
      <c r="D82" s="2" t="s">
        <v>8</v>
      </c>
      <c r="E82" s="2">
        <v>3</v>
      </c>
      <c r="F82" s="2">
        <v>589.56</v>
      </c>
      <c r="G82" s="2" t="s">
        <v>361</v>
      </c>
      <c r="H82" s="2" t="s">
        <v>37</v>
      </c>
      <c r="I82" s="2" t="s">
        <v>51</v>
      </c>
      <c r="J82" s="2" t="s">
        <v>362</v>
      </c>
      <c r="K82" s="2">
        <v>6</v>
      </c>
      <c r="L82" s="2" t="s">
        <v>77</v>
      </c>
      <c r="M82" s="2" t="s">
        <v>53</v>
      </c>
      <c r="N82" s="2">
        <v>1768.68</v>
      </c>
    </row>
    <row r="83" spans="1:14">
      <c r="A83" s="2" t="s">
        <v>363</v>
      </c>
      <c r="B83" s="2">
        <v>45085</v>
      </c>
      <c r="C83" s="2" t="s">
        <v>364</v>
      </c>
      <c r="D83" s="2" t="s">
        <v>7</v>
      </c>
      <c r="E83" s="2">
        <v>2</v>
      </c>
      <c r="F83" s="2">
        <v>394.3</v>
      </c>
      <c r="G83" s="2" t="s">
        <v>365</v>
      </c>
      <c r="H83" s="2" t="s">
        <v>71</v>
      </c>
      <c r="I83" s="2" t="s">
        <v>30</v>
      </c>
      <c r="J83" s="2" t="s">
        <v>366</v>
      </c>
      <c r="K83" s="2">
        <v>6</v>
      </c>
      <c r="L83" s="2" t="s">
        <v>46</v>
      </c>
      <c r="M83" s="2" t="s">
        <v>47</v>
      </c>
      <c r="N83" s="2">
        <v>788.6</v>
      </c>
    </row>
    <row r="84" spans="1:14">
      <c r="A84" s="2" t="s">
        <v>367</v>
      </c>
      <c r="B84" s="2">
        <v>45296</v>
      </c>
      <c r="C84" s="2" t="s">
        <v>368</v>
      </c>
      <c r="D84" s="2" t="s">
        <v>10</v>
      </c>
      <c r="E84" s="2">
        <v>4</v>
      </c>
      <c r="F84" s="2">
        <v>565.2</v>
      </c>
      <c r="G84" s="2" t="s">
        <v>369</v>
      </c>
      <c r="H84" s="2" t="s">
        <v>29</v>
      </c>
      <c r="I84" s="2" t="s">
        <v>30</v>
      </c>
      <c r="J84" s="2" t="s">
        <v>370</v>
      </c>
      <c r="K84" s="2">
        <v>9</v>
      </c>
      <c r="L84" s="2" t="s">
        <v>32</v>
      </c>
      <c r="M84" s="2" t="s">
        <v>82</v>
      </c>
      <c r="N84" s="2">
        <v>2260.8</v>
      </c>
    </row>
    <row r="85" spans="1:14">
      <c r="A85" s="2" t="s">
        <v>371</v>
      </c>
      <c r="B85" s="2">
        <v>45160</v>
      </c>
      <c r="C85" s="2" t="s">
        <v>372</v>
      </c>
      <c r="D85" s="2" t="s">
        <v>6</v>
      </c>
      <c r="E85" s="2">
        <v>4</v>
      </c>
      <c r="F85" s="2">
        <v>540.41</v>
      </c>
      <c r="G85" s="2" t="s">
        <v>373</v>
      </c>
      <c r="H85" s="2" t="s">
        <v>43</v>
      </c>
      <c r="I85" s="2" t="s">
        <v>44</v>
      </c>
      <c r="J85" s="2" t="s">
        <v>374</v>
      </c>
      <c r="K85" s="2">
        <v>6</v>
      </c>
      <c r="L85" s="2" t="s">
        <v>77</v>
      </c>
      <c r="M85" s="2" t="s">
        <v>39</v>
      </c>
      <c r="N85" s="2">
        <v>2161.64</v>
      </c>
    </row>
    <row r="86" spans="1:14">
      <c r="A86" s="2" t="s">
        <v>375</v>
      </c>
      <c r="B86" s="2">
        <v>45166</v>
      </c>
      <c r="C86" s="2" t="s">
        <v>376</v>
      </c>
      <c r="D86" s="2" t="s">
        <v>7</v>
      </c>
      <c r="E86" s="2">
        <v>2</v>
      </c>
      <c r="F86" s="2">
        <v>165.49</v>
      </c>
      <c r="G86" s="2" t="s">
        <v>377</v>
      </c>
      <c r="H86" s="2" t="s">
        <v>37</v>
      </c>
      <c r="I86" s="2" t="s">
        <v>30</v>
      </c>
      <c r="J86" s="2" t="s">
        <v>378</v>
      </c>
      <c r="K86" s="2">
        <v>4</v>
      </c>
      <c r="L86" s="2" t="s">
        <v>87</v>
      </c>
      <c r="M86" s="2" t="s">
        <v>33</v>
      </c>
      <c r="N86" s="2">
        <v>330.98</v>
      </c>
    </row>
    <row r="87" spans="1:14">
      <c r="A87" s="2" t="s">
        <v>379</v>
      </c>
      <c r="B87" s="2">
        <v>45544</v>
      </c>
      <c r="C87" s="2" t="s">
        <v>380</v>
      </c>
      <c r="D87" s="2" t="s">
        <v>10</v>
      </c>
      <c r="E87" s="2">
        <v>3</v>
      </c>
      <c r="F87" s="2">
        <v>146.73</v>
      </c>
      <c r="G87" s="2" t="s">
        <v>381</v>
      </c>
      <c r="H87" s="2" t="s">
        <v>71</v>
      </c>
      <c r="I87" s="2" t="s">
        <v>57</v>
      </c>
      <c r="J87" s="2" t="s">
        <v>382</v>
      </c>
      <c r="K87" s="2">
        <v>8</v>
      </c>
      <c r="L87" s="2" t="s">
        <v>46</v>
      </c>
      <c r="M87" s="2" t="s">
        <v>47</v>
      </c>
      <c r="N87" s="2">
        <v>440.19</v>
      </c>
    </row>
    <row r="88" spans="1:14">
      <c r="A88" s="2" t="s">
        <v>383</v>
      </c>
      <c r="B88" s="2">
        <v>45462</v>
      </c>
      <c r="C88" s="2" t="s">
        <v>384</v>
      </c>
      <c r="D88" s="2" t="s">
        <v>9</v>
      </c>
      <c r="E88" s="2">
        <v>5</v>
      </c>
      <c r="F88" s="2">
        <v>643.03</v>
      </c>
      <c r="G88" s="2" t="s">
        <v>385</v>
      </c>
      <c r="H88" s="2" t="s">
        <v>37</v>
      </c>
      <c r="I88" s="2" t="s">
        <v>44</v>
      </c>
      <c r="J88" s="2" t="s">
        <v>386</v>
      </c>
      <c r="K88" s="2">
        <v>5</v>
      </c>
      <c r="L88" s="2" t="s">
        <v>46</v>
      </c>
      <c r="M88" s="2" t="s">
        <v>39</v>
      </c>
      <c r="N88" s="2">
        <v>3215.15</v>
      </c>
    </row>
    <row r="89" spans="1:14">
      <c r="A89" s="2" t="s">
        <v>387</v>
      </c>
      <c r="B89" s="2">
        <v>45575</v>
      </c>
      <c r="C89" s="2" t="s">
        <v>388</v>
      </c>
      <c r="D89" s="2" t="s">
        <v>10</v>
      </c>
      <c r="E89" s="2">
        <v>3</v>
      </c>
      <c r="F89" s="2">
        <v>225.11</v>
      </c>
      <c r="G89" s="2" t="s">
        <v>389</v>
      </c>
      <c r="H89" s="2" t="s">
        <v>71</v>
      </c>
      <c r="I89" s="2" t="s">
        <v>30</v>
      </c>
      <c r="J89" s="2" t="s">
        <v>390</v>
      </c>
      <c r="K89" s="2">
        <v>4</v>
      </c>
      <c r="L89" s="2" t="s">
        <v>32</v>
      </c>
      <c r="M89" s="2" t="s">
        <v>53</v>
      </c>
      <c r="N89" s="2">
        <v>675.33</v>
      </c>
    </row>
    <row r="90" spans="1:14">
      <c r="A90" s="2" t="s">
        <v>391</v>
      </c>
      <c r="B90" s="2">
        <v>45813</v>
      </c>
      <c r="C90" s="2" t="s">
        <v>392</v>
      </c>
      <c r="D90" s="2" t="s">
        <v>5</v>
      </c>
      <c r="E90" s="2">
        <v>3</v>
      </c>
      <c r="F90" s="2">
        <v>114.81</v>
      </c>
      <c r="G90" s="2" t="s">
        <v>393</v>
      </c>
      <c r="H90" s="2" t="s">
        <v>66</v>
      </c>
      <c r="I90" s="2" t="s">
        <v>44</v>
      </c>
      <c r="J90" s="2" t="s">
        <v>394</v>
      </c>
      <c r="K90" s="2">
        <v>7</v>
      </c>
      <c r="L90" s="2" t="s">
        <v>77</v>
      </c>
      <c r="M90" s="2" t="s">
        <v>82</v>
      </c>
      <c r="N90" s="2">
        <v>344.43</v>
      </c>
    </row>
    <row r="91" spans="1:14">
      <c r="A91" s="2" t="s">
        <v>395</v>
      </c>
      <c r="B91" s="2">
        <v>45713</v>
      </c>
      <c r="C91" s="2" t="s">
        <v>396</v>
      </c>
      <c r="D91" s="2" t="s">
        <v>9</v>
      </c>
      <c r="E91" s="2">
        <v>5</v>
      </c>
      <c r="F91" s="2">
        <v>455.33</v>
      </c>
      <c r="G91" s="2" t="s">
        <v>397</v>
      </c>
      <c r="H91" s="2" t="s">
        <v>43</v>
      </c>
      <c r="I91" s="2" t="s">
        <v>44</v>
      </c>
      <c r="J91" s="2" t="s">
        <v>398</v>
      </c>
      <c r="K91" s="2">
        <v>8</v>
      </c>
      <c r="L91" s="2" t="s">
        <v>46</v>
      </c>
      <c r="M91" s="2" t="s">
        <v>82</v>
      </c>
      <c r="N91" s="2">
        <v>2276.65</v>
      </c>
    </row>
    <row r="92" spans="1:14">
      <c r="A92" s="2" t="s">
        <v>399</v>
      </c>
      <c r="B92" s="2">
        <v>45187</v>
      </c>
      <c r="C92" s="2" t="s">
        <v>400</v>
      </c>
      <c r="D92" s="2" t="s">
        <v>4</v>
      </c>
      <c r="E92" s="2">
        <v>4</v>
      </c>
      <c r="F92" s="2">
        <v>182.08</v>
      </c>
      <c r="G92" s="2" t="s">
        <v>401</v>
      </c>
      <c r="H92" s="2" t="s">
        <v>66</v>
      </c>
      <c r="I92" s="2" t="s">
        <v>57</v>
      </c>
      <c r="J92" s="2" t="s">
        <v>402</v>
      </c>
      <c r="K92" s="2">
        <v>4</v>
      </c>
      <c r="L92" s="2" t="s">
        <v>32</v>
      </c>
      <c r="M92" s="2" t="s">
        <v>47</v>
      </c>
      <c r="N92" s="2">
        <v>728.32</v>
      </c>
    </row>
    <row r="93" spans="1:14">
      <c r="A93" s="2" t="s">
        <v>403</v>
      </c>
      <c r="B93" s="2">
        <v>45000</v>
      </c>
      <c r="C93" s="2" t="s">
        <v>404</v>
      </c>
      <c r="D93" s="2" t="s">
        <v>6</v>
      </c>
      <c r="E93" s="2">
        <v>5</v>
      </c>
      <c r="F93" s="2">
        <v>492.75</v>
      </c>
      <c r="G93" s="2" t="s">
        <v>405</v>
      </c>
      <c r="H93" s="2" t="s">
        <v>71</v>
      </c>
      <c r="I93" s="2" t="s">
        <v>30</v>
      </c>
      <c r="J93" s="2" t="s">
        <v>406</v>
      </c>
      <c r="K93" s="2">
        <v>6</v>
      </c>
      <c r="L93" s="2" t="s">
        <v>87</v>
      </c>
      <c r="M93" s="2" t="s">
        <v>39</v>
      </c>
      <c r="N93" s="2">
        <v>2463.75</v>
      </c>
    </row>
    <row r="94" spans="1:14">
      <c r="A94" s="2" t="s">
        <v>407</v>
      </c>
      <c r="B94" s="2">
        <v>45453</v>
      </c>
      <c r="C94" s="2" t="s">
        <v>408</v>
      </c>
      <c r="D94" s="2" t="s">
        <v>9</v>
      </c>
      <c r="E94" s="2">
        <v>4</v>
      </c>
      <c r="F94" s="2">
        <v>48.61</v>
      </c>
      <c r="G94" s="2" t="s">
        <v>409</v>
      </c>
      <c r="H94" s="2" t="s">
        <v>37</v>
      </c>
      <c r="I94" s="2" t="s">
        <v>30</v>
      </c>
      <c r="J94" s="2" t="s">
        <v>410</v>
      </c>
      <c r="K94" s="2">
        <v>7</v>
      </c>
      <c r="L94" s="2" t="s">
        <v>46</v>
      </c>
      <c r="M94" s="2" t="s">
        <v>53</v>
      </c>
      <c r="N94" s="2">
        <v>194.44</v>
      </c>
    </row>
    <row r="95" spans="1:14">
      <c r="A95" s="2" t="s">
        <v>411</v>
      </c>
      <c r="B95" s="2">
        <v>44940</v>
      </c>
      <c r="C95" s="2" t="s">
        <v>412</v>
      </c>
      <c r="D95" s="2" t="s">
        <v>5</v>
      </c>
      <c r="E95" s="2">
        <v>4</v>
      </c>
      <c r="F95" s="2">
        <v>431.01</v>
      </c>
      <c r="G95" s="2" t="s">
        <v>413</v>
      </c>
      <c r="H95" s="2" t="s">
        <v>43</v>
      </c>
      <c r="I95" s="2" t="s">
        <v>51</v>
      </c>
      <c r="J95" s="2" t="s">
        <v>414</v>
      </c>
      <c r="K95" s="2">
        <v>7</v>
      </c>
      <c r="L95" s="2" t="s">
        <v>77</v>
      </c>
      <c r="M95" s="2" t="s">
        <v>39</v>
      </c>
      <c r="N95" s="2">
        <v>1724.04</v>
      </c>
    </row>
    <row r="96" spans="1:14">
      <c r="A96" s="2" t="s">
        <v>415</v>
      </c>
      <c r="B96" s="2">
        <v>44968</v>
      </c>
      <c r="C96" s="2" t="s">
        <v>416</v>
      </c>
      <c r="D96" s="2" t="s">
        <v>4</v>
      </c>
      <c r="E96" s="2">
        <v>1</v>
      </c>
      <c r="F96" s="2">
        <v>531.18</v>
      </c>
      <c r="G96" s="2" t="s">
        <v>417</v>
      </c>
      <c r="H96" s="2" t="s">
        <v>66</v>
      </c>
      <c r="I96" s="2" t="s">
        <v>51</v>
      </c>
      <c r="J96" s="2" t="s">
        <v>418</v>
      </c>
      <c r="K96" s="2">
        <v>6</v>
      </c>
      <c r="L96" s="2" t="s">
        <v>87</v>
      </c>
      <c r="M96" s="2" t="s">
        <v>33</v>
      </c>
      <c r="N96" s="2">
        <v>531.18</v>
      </c>
    </row>
    <row r="97" spans="1:14">
      <c r="A97" s="2" t="s">
        <v>419</v>
      </c>
      <c r="B97" s="2">
        <v>45009</v>
      </c>
      <c r="C97" s="2" t="s">
        <v>420</v>
      </c>
      <c r="D97" s="2" t="s">
        <v>9</v>
      </c>
      <c r="E97" s="2">
        <v>4</v>
      </c>
      <c r="F97" s="2">
        <v>117.51</v>
      </c>
      <c r="G97" s="2" t="s">
        <v>421</v>
      </c>
      <c r="H97" s="2" t="s">
        <v>29</v>
      </c>
      <c r="I97" s="2" t="s">
        <v>51</v>
      </c>
      <c r="J97" s="2" t="s">
        <v>422</v>
      </c>
      <c r="K97" s="2">
        <v>7</v>
      </c>
      <c r="L97" s="2" t="s">
        <v>77</v>
      </c>
      <c r="M97" s="2" t="s">
        <v>39</v>
      </c>
      <c r="N97" s="2">
        <v>470.04</v>
      </c>
    </row>
    <row r="98" spans="1:14">
      <c r="A98" s="2" t="s">
        <v>423</v>
      </c>
      <c r="B98" s="2">
        <v>45444</v>
      </c>
      <c r="C98" s="2" t="s">
        <v>424</v>
      </c>
      <c r="D98" s="2" t="s">
        <v>8</v>
      </c>
      <c r="E98" s="2">
        <v>2</v>
      </c>
      <c r="F98" s="2">
        <v>232.83</v>
      </c>
      <c r="G98" s="2" t="s">
        <v>357</v>
      </c>
      <c r="H98" s="2" t="s">
        <v>66</v>
      </c>
      <c r="I98" s="2" t="s">
        <v>57</v>
      </c>
      <c r="J98" s="2" t="s">
        <v>425</v>
      </c>
      <c r="K98" s="2">
        <v>7</v>
      </c>
      <c r="L98" s="2" t="s">
        <v>77</v>
      </c>
      <c r="M98" s="2" t="s">
        <v>33</v>
      </c>
      <c r="N98" s="2">
        <v>465.66</v>
      </c>
    </row>
    <row r="99" spans="1:14">
      <c r="A99" s="2" t="s">
        <v>426</v>
      </c>
      <c r="B99" s="2">
        <v>45678</v>
      </c>
      <c r="C99" s="2" t="s">
        <v>427</v>
      </c>
      <c r="D99" s="2" t="s">
        <v>10</v>
      </c>
      <c r="E99" s="2">
        <v>5</v>
      </c>
      <c r="F99" s="2">
        <v>619.52</v>
      </c>
      <c r="G99" s="2" t="s">
        <v>428</v>
      </c>
      <c r="H99" s="2" t="s">
        <v>29</v>
      </c>
      <c r="I99" s="2" t="s">
        <v>95</v>
      </c>
      <c r="J99" s="2" t="s">
        <v>429</v>
      </c>
      <c r="K99" s="2">
        <v>9</v>
      </c>
      <c r="L99" s="2" t="s">
        <v>77</v>
      </c>
      <c r="M99" s="2" t="s">
        <v>47</v>
      </c>
      <c r="N99" s="2">
        <v>3097.6</v>
      </c>
    </row>
    <row r="100" spans="1:14">
      <c r="A100" s="2" t="s">
        <v>430</v>
      </c>
      <c r="B100" s="2">
        <v>44940</v>
      </c>
      <c r="C100" s="2" t="s">
        <v>431</v>
      </c>
      <c r="D100" s="2" t="s">
        <v>9</v>
      </c>
      <c r="E100" s="2">
        <v>2</v>
      </c>
      <c r="F100" s="2">
        <v>228.54</v>
      </c>
      <c r="G100" s="2" t="s">
        <v>432</v>
      </c>
      <c r="H100" s="2" t="s">
        <v>29</v>
      </c>
      <c r="I100" s="2" t="s">
        <v>95</v>
      </c>
      <c r="J100" s="2" t="s">
        <v>433</v>
      </c>
      <c r="K100" s="2">
        <v>3</v>
      </c>
      <c r="L100" s="2" t="s">
        <v>77</v>
      </c>
      <c r="M100" s="2" t="s">
        <v>47</v>
      </c>
      <c r="N100" s="2">
        <v>457.08</v>
      </c>
    </row>
    <row r="101" spans="1:14">
      <c r="A101" s="2" t="s">
        <v>434</v>
      </c>
      <c r="B101" s="2">
        <v>45759</v>
      </c>
      <c r="C101" s="2" t="s">
        <v>435</v>
      </c>
      <c r="D101" s="2" t="s">
        <v>9</v>
      </c>
      <c r="E101" s="2">
        <v>1</v>
      </c>
      <c r="F101" s="2">
        <v>201.58</v>
      </c>
      <c r="G101" s="2" t="s">
        <v>436</v>
      </c>
      <c r="H101" s="2" t="s">
        <v>29</v>
      </c>
      <c r="I101" s="2" t="s">
        <v>44</v>
      </c>
      <c r="J101" s="2" t="s">
        <v>437</v>
      </c>
      <c r="K101" s="2">
        <v>2</v>
      </c>
      <c r="L101" s="2" t="s">
        <v>87</v>
      </c>
      <c r="M101" s="2" t="s">
        <v>47</v>
      </c>
      <c r="N101" s="2">
        <v>201.58</v>
      </c>
    </row>
    <row r="102" spans="1:14">
      <c r="A102" s="2" t="s">
        <v>438</v>
      </c>
      <c r="B102" s="2">
        <v>44974</v>
      </c>
      <c r="C102" s="2" t="s">
        <v>439</v>
      </c>
      <c r="D102" s="2" t="s">
        <v>8</v>
      </c>
      <c r="E102" s="2">
        <v>3</v>
      </c>
      <c r="F102" s="2">
        <v>664.79</v>
      </c>
      <c r="G102" s="2" t="s">
        <v>440</v>
      </c>
      <c r="H102" s="2" t="s">
        <v>37</v>
      </c>
      <c r="I102" s="2" t="s">
        <v>57</v>
      </c>
      <c r="J102" s="2" t="s">
        <v>441</v>
      </c>
      <c r="K102" s="2">
        <v>6</v>
      </c>
      <c r="L102" s="2" t="s">
        <v>77</v>
      </c>
      <c r="M102" s="2" t="s">
        <v>53</v>
      </c>
      <c r="N102" s="2">
        <v>1994.37</v>
      </c>
    </row>
    <row r="103" spans="1:14">
      <c r="A103" s="2" t="s">
        <v>442</v>
      </c>
      <c r="B103" s="2">
        <v>45255</v>
      </c>
      <c r="C103" s="2" t="s">
        <v>443</v>
      </c>
      <c r="D103" s="2" t="s">
        <v>9</v>
      </c>
      <c r="E103" s="2">
        <v>1</v>
      </c>
      <c r="F103" s="2">
        <v>381.02</v>
      </c>
      <c r="G103" s="2" t="s">
        <v>444</v>
      </c>
      <c r="H103" s="2" t="s">
        <v>71</v>
      </c>
      <c r="I103" s="2" t="s">
        <v>30</v>
      </c>
      <c r="J103" s="2" t="s">
        <v>445</v>
      </c>
      <c r="K103" s="2">
        <v>6</v>
      </c>
      <c r="L103" s="2" t="s">
        <v>77</v>
      </c>
      <c r="M103" s="2" t="s">
        <v>82</v>
      </c>
      <c r="N103" s="2">
        <v>381.02</v>
      </c>
    </row>
    <row r="104" spans="1:14">
      <c r="A104" s="2" t="s">
        <v>446</v>
      </c>
      <c r="B104" s="2">
        <v>44993</v>
      </c>
      <c r="C104" s="2" t="s">
        <v>447</v>
      </c>
      <c r="D104" s="2" t="s">
        <v>6</v>
      </c>
      <c r="E104" s="2">
        <v>2</v>
      </c>
      <c r="F104" s="2">
        <v>70.34</v>
      </c>
      <c r="G104" s="2" t="s">
        <v>448</v>
      </c>
      <c r="H104" s="2" t="s">
        <v>66</v>
      </c>
      <c r="I104" s="2" t="s">
        <v>44</v>
      </c>
      <c r="J104" s="2" t="s">
        <v>449</v>
      </c>
      <c r="K104" s="2">
        <v>3</v>
      </c>
      <c r="L104" s="2" t="s">
        <v>46</v>
      </c>
      <c r="M104" s="2" t="s">
        <v>47</v>
      </c>
      <c r="N104" s="2">
        <v>140.68</v>
      </c>
    </row>
    <row r="105" spans="1:14">
      <c r="A105" s="2" t="s">
        <v>450</v>
      </c>
      <c r="B105" s="2">
        <v>45682</v>
      </c>
      <c r="C105" s="2" t="s">
        <v>451</v>
      </c>
      <c r="D105" s="2" t="s">
        <v>8</v>
      </c>
      <c r="E105" s="2">
        <v>4</v>
      </c>
      <c r="F105" s="2">
        <v>218.43</v>
      </c>
      <c r="G105" s="2" t="s">
        <v>452</v>
      </c>
      <c r="H105" s="2" t="s">
        <v>43</v>
      </c>
      <c r="I105" s="2" t="s">
        <v>44</v>
      </c>
      <c r="J105" s="2" t="s">
        <v>453</v>
      </c>
      <c r="K105" s="2">
        <v>9</v>
      </c>
      <c r="L105" s="2" t="s">
        <v>32</v>
      </c>
      <c r="M105" s="2" t="s">
        <v>47</v>
      </c>
      <c r="N105" s="2">
        <v>873.72</v>
      </c>
    </row>
    <row r="106" spans="1:14">
      <c r="A106" s="2" t="s">
        <v>454</v>
      </c>
      <c r="B106" s="2">
        <v>45503</v>
      </c>
      <c r="C106" s="2" t="s">
        <v>455</v>
      </c>
      <c r="D106" s="2" t="s">
        <v>8</v>
      </c>
      <c r="E106" s="2">
        <v>1</v>
      </c>
      <c r="F106" s="2">
        <v>582.04</v>
      </c>
      <c r="G106" s="2" t="s">
        <v>456</v>
      </c>
      <c r="H106" s="2" t="s">
        <v>66</v>
      </c>
      <c r="I106" s="2" t="s">
        <v>57</v>
      </c>
      <c r="J106" s="2" t="s">
        <v>457</v>
      </c>
      <c r="K106" s="2">
        <v>1</v>
      </c>
      <c r="L106" s="2" t="s">
        <v>46</v>
      </c>
      <c r="M106" s="2" t="s">
        <v>47</v>
      </c>
      <c r="N106" s="2">
        <v>582.04</v>
      </c>
    </row>
    <row r="107" spans="1:14">
      <c r="A107" s="2" t="s">
        <v>458</v>
      </c>
      <c r="B107" s="2">
        <v>45589</v>
      </c>
      <c r="C107" s="2" t="s">
        <v>459</v>
      </c>
      <c r="D107" s="2" t="s">
        <v>9</v>
      </c>
      <c r="E107" s="2">
        <v>3</v>
      </c>
      <c r="F107" s="2">
        <v>185.4</v>
      </c>
      <c r="G107" s="2" t="s">
        <v>460</v>
      </c>
      <c r="H107" s="2" t="s">
        <v>66</v>
      </c>
      <c r="I107" s="2" t="s">
        <v>44</v>
      </c>
      <c r="J107" s="2" t="s">
        <v>461</v>
      </c>
      <c r="K107" s="2">
        <v>7</v>
      </c>
      <c r="L107" s="2" t="s">
        <v>77</v>
      </c>
      <c r="M107" s="2" t="s">
        <v>53</v>
      </c>
      <c r="N107" s="2">
        <v>556.2</v>
      </c>
    </row>
    <row r="108" spans="1:14">
      <c r="A108" s="2" t="s">
        <v>462</v>
      </c>
      <c r="B108" s="2">
        <v>45177</v>
      </c>
      <c r="C108" s="2" t="s">
        <v>463</v>
      </c>
      <c r="D108" s="2" t="s">
        <v>5</v>
      </c>
      <c r="E108" s="2">
        <v>3</v>
      </c>
      <c r="F108" s="2">
        <v>465.05</v>
      </c>
      <c r="G108" s="2" t="s">
        <v>464</v>
      </c>
      <c r="H108" s="2" t="s">
        <v>43</v>
      </c>
      <c r="I108" s="2" t="s">
        <v>44</v>
      </c>
      <c r="J108" s="2" t="s">
        <v>465</v>
      </c>
      <c r="K108" s="2">
        <v>3</v>
      </c>
      <c r="L108" s="2" t="s">
        <v>32</v>
      </c>
      <c r="M108" s="2" t="s">
        <v>47</v>
      </c>
      <c r="N108" s="2">
        <v>1395.15</v>
      </c>
    </row>
    <row r="109" spans="1:14">
      <c r="A109" s="2" t="s">
        <v>466</v>
      </c>
      <c r="B109" s="2">
        <v>45012</v>
      </c>
      <c r="C109" s="2" t="s">
        <v>467</v>
      </c>
      <c r="D109" s="2" t="s">
        <v>9</v>
      </c>
      <c r="E109" s="2">
        <v>5</v>
      </c>
      <c r="F109" s="2">
        <v>670.75</v>
      </c>
      <c r="G109" s="2" t="s">
        <v>468</v>
      </c>
      <c r="H109" s="2" t="s">
        <v>66</v>
      </c>
      <c r="I109" s="2" t="s">
        <v>30</v>
      </c>
      <c r="J109" s="2" t="s">
        <v>469</v>
      </c>
      <c r="K109" s="2">
        <v>8</v>
      </c>
      <c r="L109" s="2" t="s">
        <v>46</v>
      </c>
      <c r="M109" s="2" t="s">
        <v>33</v>
      </c>
      <c r="N109" s="2">
        <v>3353.75</v>
      </c>
    </row>
    <row r="110" spans="1:14">
      <c r="A110" s="2" t="s">
        <v>470</v>
      </c>
      <c r="B110" s="2">
        <v>45654</v>
      </c>
      <c r="C110" s="2" t="s">
        <v>471</v>
      </c>
      <c r="D110" s="2" t="s">
        <v>6</v>
      </c>
      <c r="E110" s="2">
        <v>5</v>
      </c>
      <c r="F110" s="2">
        <v>48.38</v>
      </c>
      <c r="G110" s="2" t="s">
        <v>472</v>
      </c>
      <c r="H110" s="2" t="s">
        <v>66</v>
      </c>
      <c r="I110" s="2" t="s">
        <v>57</v>
      </c>
      <c r="J110" s="2" t="s">
        <v>473</v>
      </c>
      <c r="K110" s="2">
        <v>9</v>
      </c>
      <c r="L110" s="2" t="s">
        <v>87</v>
      </c>
      <c r="M110" s="2" t="s">
        <v>47</v>
      </c>
      <c r="N110" s="2">
        <v>241.9</v>
      </c>
    </row>
    <row r="111" spans="1:14">
      <c r="A111" s="2" t="s">
        <v>474</v>
      </c>
      <c r="B111" s="2">
        <v>45186</v>
      </c>
      <c r="C111" s="2" t="s">
        <v>475</v>
      </c>
      <c r="D111" s="2" t="s">
        <v>5</v>
      </c>
      <c r="E111" s="2">
        <v>3</v>
      </c>
      <c r="F111" s="2">
        <v>592.87</v>
      </c>
      <c r="G111" s="2" t="s">
        <v>476</v>
      </c>
      <c r="H111" s="2" t="s">
        <v>66</v>
      </c>
      <c r="I111" s="2" t="s">
        <v>30</v>
      </c>
      <c r="J111" s="2" t="s">
        <v>477</v>
      </c>
      <c r="K111" s="2">
        <v>3</v>
      </c>
      <c r="L111" s="2" t="s">
        <v>46</v>
      </c>
      <c r="M111" s="2" t="s">
        <v>39</v>
      </c>
      <c r="N111" s="2">
        <v>1778.61</v>
      </c>
    </row>
    <row r="112" spans="1:14">
      <c r="A112" s="2" t="s">
        <v>478</v>
      </c>
      <c r="B112" s="2">
        <v>45403</v>
      </c>
      <c r="C112" s="2" t="s">
        <v>479</v>
      </c>
      <c r="D112" s="2" t="s">
        <v>10</v>
      </c>
      <c r="E112" s="2">
        <v>1</v>
      </c>
      <c r="F112" s="2">
        <v>220.77</v>
      </c>
      <c r="G112" s="2" t="s">
        <v>480</v>
      </c>
      <c r="H112" s="2" t="s">
        <v>66</v>
      </c>
      <c r="I112" s="2" t="s">
        <v>95</v>
      </c>
      <c r="J112" s="2" t="s">
        <v>481</v>
      </c>
      <c r="K112" s="2">
        <v>5</v>
      </c>
      <c r="L112" s="2" t="s">
        <v>46</v>
      </c>
      <c r="M112" s="2" t="s">
        <v>33</v>
      </c>
      <c r="N112" s="2">
        <v>220.77</v>
      </c>
    </row>
    <row r="113" spans="1:14">
      <c r="A113" s="2" t="s">
        <v>482</v>
      </c>
      <c r="B113" s="2">
        <v>45784</v>
      </c>
      <c r="C113" s="2" t="s">
        <v>483</v>
      </c>
      <c r="D113" s="2" t="s">
        <v>5</v>
      </c>
      <c r="E113" s="2">
        <v>3</v>
      </c>
      <c r="F113" s="2">
        <v>309.22</v>
      </c>
      <c r="G113" s="2" t="s">
        <v>484</v>
      </c>
      <c r="H113" s="2" t="s">
        <v>37</v>
      </c>
      <c r="I113" s="2" t="s">
        <v>44</v>
      </c>
      <c r="J113" s="2" t="s">
        <v>485</v>
      </c>
      <c r="K113" s="2">
        <v>7</v>
      </c>
      <c r="L113" s="2" t="s">
        <v>46</v>
      </c>
      <c r="M113" s="2" t="s">
        <v>82</v>
      </c>
      <c r="N113" s="2">
        <v>927.66</v>
      </c>
    </row>
    <row r="114" spans="1:14">
      <c r="A114" s="2" t="s">
        <v>486</v>
      </c>
      <c r="B114" s="2">
        <v>44927</v>
      </c>
      <c r="C114" s="2" t="s">
        <v>487</v>
      </c>
      <c r="D114" s="2" t="s">
        <v>7</v>
      </c>
      <c r="E114" s="2">
        <v>1</v>
      </c>
      <c r="F114" s="2">
        <v>410.6</v>
      </c>
      <c r="G114" s="2" t="s">
        <v>488</v>
      </c>
      <c r="H114" s="2" t="s">
        <v>37</v>
      </c>
      <c r="I114" s="2" t="s">
        <v>44</v>
      </c>
      <c r="J114" s="2" t="s">
        <v>489</v>
      </c>
      <c r="K114" s="2">
        <v>2</v>
      </c>
      <c r="L114" s="2" t="s">
        <v>87</v>
      </c>
      <c r="M114" s="2" t="s">
        <v>39</v>
      </c>
      <c r="N114" s="2">
        <v>410.6</v>
      </c>
    </row>
    <row r="115" spans="1:14">
      <c r="A115" s="2" t="s">
        <v>490</v>
      </c>
      <c r="B115" s="2">
        <v>45308</v>
      </c>
      <c r="C115" s="2" t="s">
        <v>491</v>
      </c>
      <c r="D115" s="2" t="s">
        <v>6</v>
      </c>
      <c r="E115" s="2">
        <v>5</v>
      </c>
      <c r="F115" s="2">
        <v>190.08</v>
      </c>
      <c r="G115" s="2" t="s">
        <v>492</v>
      </c>
      <c r="H115" s="2" t="s">
        <v>71</v>
      </c>
      <c r="I115" s="2" t="s">
        <v>30</v>
      </c>
      <c r="J115" s="2" t="s">
        <v>493</v>
      </c>
      <c r="K115" s="2">
        <v>9</v>
      </c>
      <c r="L115" s="2" t="s">
        <v>46</v>
      </c>
      <c r="M115" s="2" t="s">
        <v>33</v>
      </c>
      <c r="N115" s="2">
        <v>950.4</v>
      </c>
    </row>
    <row r="116" spans="1:14">
      <c r="A116" s="2" t="s">
        <v>494</v>
      </c>
      <c r="B116" s="2">
        <v>45684</v>
      </c>
      <c r="C116" s="2" t="s">
        <v>495</v>
      </c>
      <c r="D116" s="2" t="s">
        <v>7</v>
      </c>
      <c r="E116" s="2">
        <v>5</v>
      </c>
      <c r="F116" s="2">
        <v>498.48</v>
      </c>
      <c r="G116" s="2" t="s">
        <v>496</v>
      </c>
      <c r="H116" s="2" t="s">
        <v>37</v>
      </c>
      <c r="I116" s="2" t="s">
        <v>95</v>
      </c>
      <c r="J116" s="2" t="s">
        <v>497</v>
      </c>
      <c r="K116" s="2">
        <v>8</v>
      </c>
      <c r="L116" s="2" t="s">
        <v>32</v>
      </c>
      <c r="M116" s="2" t="s">
        <v>82</v>
      </c>
      <c r="N116" s="2">
        <v>2492.4</v>
      </c>
    </row>
    <row r="117" spans="1:14">
      <c r="A117" s="2" t="s">
        <v>498</v>
      </c>
      <c r="B117" s="2">
        <v>45257</v>
      </c>
      <c r="C117" s="2" t="s">
        <v>499</v>
      </c>
      <c r="D117" s="2" t="s">
        <v>8</v>
      </c>
      <c r="E117" s="2">
        <v>5</v>
      </c>
      <c r="F117" s="2">
        <v>374.99</v>
      </c>
      <c r="G117" s="2" t="s">
        <v>500</v>
      </c>
      <c r="H117" s="2" t="s">
        <v>37</v>
      </c>
      <c r="I117" s="2" t="s">
        <v>30</v>
      </c>
      <c r="J117" s="2" t="s">
        <v>501</v>
      </c>
      <c r="K117" s="2">
        <v>9</v>
      </c>
      <c r="L117" s="2" t="s">
        <v>32</v>
      </c>
      <c r="M117" s="2" t="s">
        <v>53</v>
      </c>
      <c r="N117" s="2">
        <v>1874.95</v>
      </c>
    </row>
    <row r="118" spans="1:14">
      <c r="A118" s="2" t="s">
        <v>502</v>
      </c>
      <c r="B118" s="2">
        <v>45004</v>
      </c>
      <c r="C118" s="2" t="s">
        <v>503</v>
      </c>
      <c r="D118" s="2" t="s">
        <v>9</v>
      </c>
      <c r="E118" s="2">
        <v>4</v>
      </c>
      <c r="F118" s="2">
        <v>291.35</v>
      </c>
      <c r="G118" s="2" t="s">
        <v>504</v>
      </c>
      <c r="H118" s="2" t="s">
        <v>43</v>
      </c>
      <c r="I118" s="2" t="s">
        <v>44</v>
      </c>
      <c r="J118" s="2" t="s">
        <v>505</v>
      </c>
      <c r="K118" s="2">
        <v>6</v>
      </c>
      <c r="L118" s="2" t="s">
        <v>87</v>
      </c>
      <c r="M118" s="2" t="s">
        <v>53</v>
      </c>
      <c r="N118" s="2">
        <v>1165.4</v>
      </c>
    </row>
    <row r="119" spans="1:14">
      <c r="A119" s="2" t="s">
        <v>506</v>
      </c>
      <c r="B119" s="2">
        <v>44993</v>
      </c>
      <c r="C119" s="2" t="s">
        <v>507</v>
      </c>
      <c r="D119" s="2" t="s">
        <v>10</v>
      </c>
      <c r="E119" s="2">
        <v>1</v>
      </c>
      <c r="F119" s="2">
        <v>535.5</v>
      </c>
      <c r="G119" s="2" t="s">
        <v>508</v>
      </c>
      <c r="H119" s="2" t="s">
        <v>66</v>
      </c>
      <c r="I119" s="2" t="s">
        <v>44</v>
      </c>
      <c r="J119" s="2" t="s">
        <v>509</v>
      </c>
      <c r="K119" s="2">
        <v>5</v>
      </c>
      <c r="L119" s="2" t="s">
        <v>87</v>
      </c>
      <c r="M119" s="2" t="s">
        <v>39</v>
      </c>
      <c r="N119" s="2">
        <v>535.5</v>
      </c>
    </row>
    <row r="120" spans="1:14">
      <c r="A120" s="2" t="s">
        <v>510</v>
      </c>
      <c r="B120" s="2">
        <v>45208</v>
      </c>
      <c r="C120" s="2" t="s">
        <v>511</v>
      </c>
      <c r="D120" s="2" t="s">
        <v>9</v>
      </c>
      <c r="E120" s="2">
        <v>5</v>
      </c>
      <c r="F120" s="2">
        <v>502.71</v>
      </c>
      <c r="G120" s="2" t="s">
        <v>512</v>
      </c>
      <c r="H120" s="2" t="s">
        <v>66</v>
      </c>
      <c r="I120" s="2" t="s">
        <v>30</v>
      </c>
      <c r="J120" s="2" t="s">
        <v>513</v>
      </c>
      <c r="K120" s="2">
        <v>7</v>
      </c>
      <c r="L120" s="2" t="s">
        <v>46</v>
      </c>
      <c r="M120" s="2" t="s">
        <v>82</v>
      </c>
      <c r="N120" s="2">
        <v>2513.55</v>
      </c>
    </row>
    <row r="121" spans="1:14">
      <c r="A121" s="2" t="s">
        <v>514</v>
      </c>
      <c r="B121" s="2">
        <v>45819</v>
      </c>
      <c r="C121" s="2" t="s">
        <v>515</v>
      </c>
      <c r="D121" s="2" t="s">
        <v>5</v>
      </c>
      <c r="E121" s="2">
        <v>2</v>
      </c>
      <c r="F121" s="2">
        <v>534.67</v>
      </c>
      <c r="G121" s="2" t="s">
        <v>516</v>
      </c>
      <c r="H121" s="2" t="s">
        <v>29</v>
      </c>
      <c r="I121" s="2" t="s">
        <v>30</v>
      </c>
      <c r="J121" s="2" t="s">
        <v>517</v>
      </c>
      <c r="K121" s="2">
        <v>7</v>
      </c>
      <c r="L121" s="2" t="s">
        <v>46</v>
      </c>
      <c r="M121" s="2" t="s">
        <v>39</v>
      </c>
      <c r="N121" s="2">
        <v>1069.34</v>
      </c>
    </row>
    <row r="122" spans="1:14">
      <c r="A122" s="2" t="s">
        <v>518</v>
      </c>
      <c r="B122" s="2">
        <v>45027</v>
      </c>
      <c r="C122" s="2" t="s">
        <v>519</v>
      </c>
      <c r="D122" s="2" t="s">
        <v>10</v>
      </c>
      <c r="E122" s="2">
        <v>4</v>
      </c>
      <c r="F122" s="2">
        <v>629.34</v>
      </c>
      <c r="G122" s="2" t="s">
        <v>65</v>
      </c>
      <c r="H122" s="2" t="s">
        <v>71</v>
      </c>
      <c r="I122" s="2" t="s">
        <v>44</v>
      </c>
      <c r="J122" s="2" t="s">
        <v>520</v>
      </c>
      <c r="K122" s="2">
        <v>4</v>
      </c>
      <c r="L122" s="2" t="s">
        <v>87</v>
      </c>
      <c r="M122" s="2" t="s">
        <v>33</v>
      </c>
      <c r="N122" s="2">
        <v>2517.36</v>
      </c>
    </row>
    <row r="123" spans="1:14">
      <c r="A123" s="2" t="s">
        <v>521</v>
      </c>
      <c r="B123" s="2">
        <v>45260</v>
      </c>
      <c r="C123" s="2" t="s">
        <v>522</v>
      </c>
      <c r="D123" s="2" t="s">
        <v>5</v>
      </c>
      <c r="E123" s="2">
        <v>1</v>
      </c>
      <c r="F123" s="2">
        <v>410.78</v>
      </c>
      <c r="G123" s="2" t="s">
        <v>523</v>
      </c>
      <c r="H123" s="2" t="s">
        <v>71</v>
      </c>
      <c r="I123" s="2" t="s">
        <v>44</v>
      </c>
      <c r="J123" s="2" t="s">
        <v>524</v>
      </c>
      <c r="K123" s="2">
        <v>1</v>
      </c>
      <c r="L123" s="2" t="s">
        <v>46</v>
      </c>
      <c r="M123" s="2" t="s">
        <v>33</v>
      </c>
      <c r="N123" s="2">
        <v>410.78</v>
      </c>
    </row>
    <row r="124" spans="1:14">
      <c r="A124" s="2" t="s">
        <v>525</v>
      </c>
      <c r="B124" s="2">
        <v>45397</v>
      </c>
      <c r="C124" s="2" t="s">
        <v>526</v>
      </c>
      <c r="D124" s="2" t="s">
        <v>6</v>
      </c>
      <c r="E124" s="2">
        <v>2</v>
      </c>
      <c r="F124" s="2">
        <v>533.02</v>
      </c>
      <c r="G124" s="2" t="s">
        <v>527</v>
      </c>
      <c r="H124" s="2" t="s">
        <v>66</v>
      </c>
      <c r="I124" s="2" t="s">
        <v>30</v>
      </c>
      <c r="J124" s="2" t="s">
        <v>528</v>
      </c>
      <c r="K124" s="2">
        <v>2</v>
      </c>
      <c r="L124" s="2" t="s">
        <v>77</v>
      </c>
      <c r="M124" s="2" t="s">
        <v>53</v>
      </c>
      <c r="N124" s="2">
        <v>1066.04</v>
      </c>
    </row>
    <row r="125" spans="1:14">
      <c r="A125" s="2" t="s">
        <v>529</v>
      </c>
      <c r="B125" s="2">
        <v>45113</v>
      </c>
      <c r="C125" s="2" t="s">
        <v>530</v>
      </c>
      <c r="D125" s="2" t="s">
        <v>5</v>
      </c>
      <c r="E125" s="2">
        <v>3</v>
      </c>
      <c r="F125" s="2">
        <v>278.04</v>
      </c>
      <c r="G125" s="2" t="s">
        <v>531</v>
      </c>
      <c r="H125" s="2" t="s">
        <v>37</v>
      </c>
      <c r="I125" s="2" t="s">
        <v>57</v>
      </c>
      <c r="J125" s="2" t="s">
        <v>532</v>
      </c>
      <c r="K125" s="2">
        <v>5</v>
      </c>
      <c r="L125" s="2" t="s">
        <v>77</v>
      </c>
      <c r="M125" s="2" t="s">
        <v>33</v>
      </c>
      <c r="N125" s="2">
        <v>834.12</v>
      </c>
    </row>
    <row r="126" spans="1:14">
      <c r="A126" s="2" t="s">
        <v>533</v>
      </c>
      <c r="B126" s="2">
        <v>45501</v>
      </c>
      <c r="C126" s="2" t="s">
        <v>534</v>
      </c>
      <c r="D126" s="2" t="s">
        <v>9</v>
      </c>
      <c r="E126" s="2">
        <v>4</v>
      </c>
      <c r="F126" s="2">
        <v>283.79</v>
      </c>
      <c r="G126" s="2" t="s">
        <v>535</v>
      </c>
      <c r="H126" s="2" t="s">
        <v>37</v>
      </c>
      <c r="I126" s="2" t="s">
        <v>95</v>
      </c>
      <c r="J126" s="2" t="s">
        <v>536</v>
      </c>
      <c r="K126" s="2">
        <v>8</v>
      </c>
      <c r="L126" s="2" t="s">
        <v>77</v>
      </c>
      <c r="M126" s="2" t="s">
        <v>82</v>
      </c>
      <c r="N126" s="2">
        <v>1135.16</v>
      </c>
    </row>
    <row r="127" spans="1:14">
      <c r="A127" s="2" t="s">
        <v>537</v>
      </c>
      <c r="B127" s="2">
        <v>45602</v>
      </c>
      <c r="C127" s="2" t="s">
        <v>538</v>
      </c>
      <c r="D127" s="2" t="s">
        <v>8</v>
      </c>
      <c r="E127" s="2">
        <v>2</v>
      </c>
      <c r="F127" s="2">
        <v>512.65</v>
      </c>
      <c r="G127" s="2" t="s">
        <v>539</v>
      </c>
      <c r="H127" s="2" t="s">
        <v>43</v>
      </c>
      <c r="I127" s="2" t="s">
        <v>30</v>
      </c>
      <c r="J127" s="2" t="s">
        <v>540</v>
      </c>
      <c r="K127" s="2">
        <v>5</v>
      </c>
      <c r="L127" s="2" t="s">
        <v>32</v>
      </c>
      <c r="M127" s="2" t="s">
        <v>47</v>
      </c>
      <c r="N127" s="2">
        <v>1025.3</v>
      </c>
    </row>
    <row r="128" spans="1:14">
      <c r="A128" s="2" t="s">
        <v>541</v>
      </c>
      <c r="B128" s="2">
        <v>45780</v>
      </c>
      <c r="C128" s="2" t="s">
        <v>542</v>
      </c>
      <c r="D128" s="2" t="s">
        <v>5</v>
      </c>
      <c r="E128" s="2">
        <v>4</v>
      </c>
      <c r="F128" s="2">
        <v>275.5</v>
      </c>
      <c r="G128" s="2" t="s">
        <v>543</v>
      </c>
      <c r="H128" s="2" t="s">
        <v>66</v>
      </c>
      <c r="I128" s="2" t="s">
        <v>30</v>
      </c>
      <c r="J128" s="2" t="s">
        <v>544</v>
      </c>
      <c r="K128" s="2">
        <v>8</v>
      </c>
      <c r="L128" s="2" t="s">
        <v>46</v>
      </c>
      <c r="M128" s="2" t="s">
        <v>82</v>
      </c>
      <c r="N128" s="2">
        <v>1102</v>
      </c>
    </row>
    <row r="129" spans="1:14">
      <c r="A129" s="2" t="s">
        <v>545</v>
      </c>
      <c r="B129" s="2">
        <v>45148</v>
      </c>
      <c r="C129" s="2" t="s">
        <v>546</v>
      </c>
      <c r="D129" s="2" t="s">
        <v>5</v>
      </c>
      <c r="E129" s="2">
        <v>3</v>
      </c>
      <c r="F129" s="2">
        <v>469.32</v>
      </c>
      <c r="G129" s="2" t="s">
        <v>547</v>
      </c>
      <c r="H129" s="2" t="s">
        <v>29</v>
      </c>
      <c r="I129" s="2" t="s">
        <v>30</v>
      </c>
      <c r="J129" s="2" t="s">
        <v>548</v>
      </c>
      <c r="K129" s="2">
        <v>3</v>
      </c>
      <c r="L129" s="2" t="s">
        <v>77</v>
      </c>
      <c r="M129" s="2" t="s">
        <v>82</v>
      </c>
      <c r="N129" s="2">
        <v>1407.96</v>
      </c>
    </row>
    <row r="130" spans="1:14">
      <c r="A130" s="2" t="s">
        <v>549</v>
      </c>
      <c r="B130" s="2">
        <v>44974</v>
      </c>
      <c r="C130" s="2" t="s">
        <v>550</v>
      </c>
      <c r="D130" s="2" t="s">
        <v>10</v>
      </c>
      <c r="E130" s="2">
        <v>4</v>
      </c>
      <c r="F130" s="2">
        <v>21.07</v>
      </c>
      <c r="G130" s="2" t="s">
        <v>551</v>
      </c>
      <c r="H130" s="2" t="s">
        <v>66</v>
      </c>
      <c r="I130" s="2" t="s">
        <v>57</v>
      </c>
      <c r="J130" s="2" t="s">
        <v>552</v>
      </c>
      <c r="K130" s="2">
        <v>4</v>
      </c>
      <c r="L130" s="2" t="s">
        <v>46</v>
      </c>
      <c r="M130" s="2" t="s">
        <v>82</v>
      </c>
      <c r="N130" s="2">
        <v>84.28</v>
      </c>
    </row>
    <row r="131" spans="1:14">
      <c r="A131" s="2" t="s">
        <v>553</v>
      </c>
      <c r="B131" s="2">
        <v>45226</v>
      </c>
      <c r="C131" s="2" t="s">
        <v>554</v>
      </c>
      <c r="D131" s="2" t="s">
        <v>6</v>
      </c>
      <c r="E131" s="2">
        <v>4</v>
      </c>
      <c r="F131" s="2">
        <v>263.93</v>
      </c>
      <c r="G131" s="2" t="s">
        <v>555</v>
      </c>
      <c r="H131" s="2" t="s">
        <v>29</v>
      </c>
      <c r="I131" s="2" t="s">
        <v>30</v>
      </c>
      <c r="J131" s="2" t="s">
        <v>556</v>
      </c>
      <c r="K131" s="2">
        <v>4</v>
      </c>
      <c r="L131" s="2" t="s">
        <v>46</v>
      </c>
      <c r="M131" s="2" t="s">
        <v>53</v>
      </c>
      <c r="N131" s="2">
        <v>1055.72</v>
      </c>
    </row>
    <row r="132" spans="1:14">
      <c r="A132" s="2" t="s">
        <v>557</v>
      </c>
      <c r="B132" s="2">
        <v>45679</v>
      </c>
      <c r="C132" s="2" t="s">
        <v>558</v>
      </c>
      <c r="D132" s="2" t="s">
        <v>5</v>
      </c>
      <c r="E132" s="2">
        <v>3</v>
      </c>
      <c r="F132" s="2">
        <v>501.3</v>
      </c>
      <c r="G132" s="2" t="s">
        <v>559</v>
      </c>
      <c r="H132" s="2" t="s">
        <v>37</v>
      </c>
      <c r="I132" s="2" t="s">
        <v>44</v>
      </c>
      <c r="J132" s="2" t="s">
        <v>560</v>
      </c>
      <c r="K132" s="2">
        <v>3</v>
      </c>
      <c r="L132" s="2" t="s">
        <v>87</v>
      </c>
      <c r="M132" s="2" t="s">
        <v>53</v>
      </c>
      <c r="N132" s="2">
        <v>1503.9</v>
      </c>
    </row>
    <row r="133" spans="1:14">
      <c r="A133" s="2" t="s">
        <v>561</v>
      </c>
      <c r="B133" s="2">
        <v>44934</v>
      </c>
      <c r="C133" s="2" t="s">
        <v>562</v>
      </c>
      <c r="D133" s="2" t="s">
        <v>10</v>
      </c>
      <c r="E133" s="2">
        <v>1</v>
      </c>
      <c r="F133" s="2">
        <v>84.8</v>
      </c>
      <c r="G133" s="2" t="s">
        <v>563</v>
      </c>
      <c r="H133" s="2" t="s">
        <v>66</v>
      </c>
      <c r="I133" s="2" t="s">
        <v>95</v>
      </c>
      <c r="J133" s="2" t="s">
        <v>564</v>
      </c>
      <c r="K133" s="2">
        <v>5</v>
      </c>
      <c r="L133" s="2" t="s">
        <v>77</v>
      </c>
      <c r="M133" s="2" t="s">
        <v>33</v>
      </c>
      <c r="N133" s="2">
        <v>84.8</v>
      </c>
    </row>
    <row r="134" spans="1:14">
      <c r="A134" s="2" t="s">
        <v>565</v>
      </c>
      <c r="B134" s="2">
        <v>45013</v>
      </c>
      <c r="C134" s="2" t="s">
        <v>566</v>
      </c>
      <c r="D134" s="2" t="s">
        <v>10</v>
      </c>
      <c r="E134" s="2">
        <v>4</v>
      </c>
      <c r="F134" s="2">
        <v>450.75</v>
      </c>
      <c r="G134" s="2" t="s">
        <v>567</v>
      </c>
      <c r="H134" s="2" t="s">
        <v>43</v>
      </c>
      <c r="I134" s="2" t="s">
        <v>30</v>
      </c>
      <c r="J134" s="2" t="s">
        <v>568</v>
      </c>
      <c r="K134" s="2">
        <v>6</v>
      </c>
      <c r="L134" s="2" t="s">
        <v>87</v>
      </c>
      <c r="M134" s="2" t="s">
        <v>47</v>
      </c>
      <c r="N134" s="2">
        <v>1803</v>
      </c>
    </row>
    <row r="135" spans="1:14">
      <c r="A135" s="2" t="s">
        <v>569</v>
      </c>
      <c r="B135" s="2">
        <v>45828</v>
      </c>
      <c r="C135" s="2" t="s">
        <v>570</v>
      </c>
      <c r="D135" s="2" t="s">
        <v>4</v>
      </c>
      <c r="E135" s="2">
        <v>4</v>
      </c>
      <c r="F135" s="2">
        <v>302.05</v>
      </c>
      <c r="G135" s="2" t="s">
        <v>571</v>
      </c>
      <c r="H135" s="2" t="s">
        <v>29</v>
      </c>
      <c r="I135" s="2" t="s">
        <v>44</v>
      </c>
      <c r="J135" s="2" t="s">
        <v>572</v>
      </c>
      <c r="K135" s="2">
        <v>6</v>
      </c>
      <c r="L135" s="2" t="s">
        <v>32</v>
      </c>
      <c r="M135" s="2" t="s">
        <v>82</v>
      </c>
      <c r="N135" s="2">
        <v>1208.2</v>
      </c>
    </row>
    <row r="136" spans="1:14">
      <c r="A136" s="2" t="s">
        <v>573</v>
      </c>
      <c r="B136" s="2">
        <v>45831</v>
      </c>
      <c r="C136" s="2" t="s">
        <v>574</v>
      </c>
      <c r="D136" s="2" t="s">
        <v>6</v>
      </c>
      <c r="E136" s="2">
        <v>2</v>
      </c>
      <c r="F136" s="2">
        <v>199.7</v>
      </c>
      <c r="G136" s="2" t="s">
        <v>567</v>
      </c>
      <c r="H136" s="2" t="s">
        <v>71</v>
      </c>
      <c r="I136" s="2" t="s">
        <v>95</v>
      </c>
      <c r="J136" s="2" t="s">
        <v>575</v>
      </c>
      <c r="K136" s="2">
        <v>4</v>
      </c>
      <c r="L136" s="2" t="s">
        <v>77</v>
      </c>
      <c r="M136" s="2" t="s">
        <v>47</v>
      </c>
      <c r="N136" s="2">
        <v>399.4</v>
      </c>
    </row>
    <row r="137" spans="1:14">
      <c r="A137" s="2" t="s">
        <v>576</v>
      </c>
      <c r="B137" s="2">
        <v>45142</v>
      </c>
      <c r="C137" s="2" t="s">
        <v>577</v>
      </c>
      <c r="D137" s="2" t="s">
        <v>9</v>
      </c>
      <c r="E137" s="2">
        <v>2</v>
      </c>
      <c r="F137" s="2">
        <v>68.81</v>
      </c>
      <c r="G137" s="2" t="s">
        <v>578</v>
      </c>
      <c r="H137" s="2" t="s">
        <v>66</v>
      </c>
      <c r="I137" s="2" t="s">
        <v>30</v>
      </c>
      <c r="J137" s="2" t="s">
        <v>579</v>
      </c>
      <c r="K137" s="2">
        <v>5</v>
      </c>
      <c r="L137" s="2" t="s">
        <v>32</v>
      </c>
      <c r="M137" s="2" t="s">
        <v>39</v>
      </c>
      <c r="N137" s="2">
        <v>137.62</v>
      </c>
    </row>
    <row r="138" spans="1:14">
      <c r="A138" s="2" t="s">
        <v>580</v>
      </c>
      <c r="B138" s="2">
        <v>45409</v>
      </c>
      <c r="C138" s="2" t="s">
        <v>581</v>
      </c>
      <c r="D138" s="2" t="s">
        <v>6</v>
      </c>
      <c r="E138" s="2">
        <v>1</v>
      </c>
      <c r="F138" s="2">
        <v>44.35</v>
      </c>
      <c r="G138" s="2" t="s">
        <v>582</v>
      </c>
      <c r="H138" s="2" t="s">
        <v>66</v>
      </c>
      <c r="I138" s="2" t="s">
        <v>44</v>
      </c>
      <c r="J138" s="2" t="s">
        <v>583</v>
      </c>
      <c r="K138" s="2">
        <v>1</v>
      </c>
      <c r="L138" s="2" t="s">
        <v>32</v>
      </c>
      <c r="M138" s="2" t="s">
        <v>33</v>
      </c>
      <c r="N138" s="2">
        <v>44.35</v>
      </c>
    </row>
    <row r="139" spans="1:14">
      <c r="A139" s="2" t="s">
        <v>584</v>
      </c>
      <c r="B139" s="2">
        <v>45622</v>
      </c>
      <c r="C139" s="2" t="s">
        <v>585</v>
      </c>
      <c r="D139" s="2" t="s">
        <v>7</v>
      </c>
      <c r="E139" s="2">
        <v>2</v>
      </c>
      <c r="F139" s="2">
        <v>250.98</v>
      </c>
      <c r="G139" s="2" t="s">
        <v>586</v>
      </c>
      <c r="H139" s="2" t="s">
        <v>43</v>
      </c>
      <c r="I139" s="2" t="s">
        <v>57</v>
      </c>
      <c r="J139" s="2" t="s">
        <v>587</v>
      </c>
      <c r="K139" s="2">
        <v>5</v>
      </c>
      <c r="L139" s="2" t="s">
        <v>77</v>
      </c>
      <c r="M139" s="2" t="s">
        <v>82</v>
      </c>
      <c r="N139" s="2">
        <v>501.96</v>
      </c>
    </row>
    <row r="140" spans="1:14">
      <c r="A140" s="2" t="s">
        <v>588</v>
      </c>
      <c r="B140" s="2">
        <v>45281</v>
      </c>
      <c r="C140" s="2" t="s">
        <v>589</v>
      </c>
      <c r="D140" s="2" t="s">
        <v>10</v>
      </c>
      <c r="E140" s="2">
        <v>1</v>
      </c>
      <c r="F140" s="2">
        <v>298.06</v>
      </c>
      <c r="G140" s="2" t="s">
        <v>590</v>
      </c>
      <c r="H140" s="2" t="s">
        <v>29</v>
      </c>
      <c r="I140" s="2" t="s">
        <v>95</v>
      </c>
      <c r="J140" s="2" t="s">
        <v>591</v>
      </c>
      <c r="K140" s="2">
        <v>3</v>
      </c>
      <c r="L140" s="2" t="s">
        <v>87</v>
      </c>
      <c r="M140" s="2" t="s">
        <v>82</v>
      </c>
      <c r="N140" s="2">
        <v>298.06</v>
      </c>
    </row>
    <row r="141" spans="1:14">
      <c r="A141" s="2" t="s">
        <v>592</v>
      </c>
      <c r="B141" s="2">
        <v>45026</v>
      </c>
      <c r="C141" s="2" t="s">
        <v>593</v>
      </c>
      <c r="D141" s="2" t="s">
        <v>8</v>
      </c>
      <c r="E141" s="2">
        <v>1</v>
      </c>
      <c r="F141" s="2">
        <v>583.9</v>
      </c>
      <c r="G141" s="2" t="s">
        <v>594</v>
      </c>
      <c r="H141" s="2" t="s">
        <v>71</v>
      </c>
      <c r="I141" s="2" t="s">
        <v>51</v>
      </c>
      <c r="J141" s="2" t="s">
        <v>595</v>
      </c>
      <c r="K141" s="2">
        <v>1</v>
      </c>
      <c r="L141" s="2" t="s">
        <v>77</v>
      </c>
      <c r="M141" s="2" t="s">
        <v>47</v>
      </c>
      <c r="N141" s="2">
        <v>583.9</v>
      </c>
    </row>
    <row r="142" spans="1:14">
      <c r="A142" s="2" t="s">
        <v>596</v>
      </c>
      <c r="B142" s="2">
        <v>45808</v>
      </c>
      <c r="C142" s="2" t="s">
        <v>597</v>
      </c>
      <c r="D142" s="2" t="s">
        <v>4</v>
      </c>
      <c r="E142" s="2">
        <v>3</v>
      </c>
      <c r="F142" s="2">
        <v>528.14</v>
      </c>
      <c r="G142" s="2" t="s">
        <v>480</v>
      </c>
      <c r="H142" s="2" t="s">
        <v>37</v>
      </c>
      <c r="I142" s="2" t="s">
        <v>57</v>
      </c>
      <c r="J142" s="2" t="s">
        <v>598</v>
      </c>
      <c r="K142" s="2">
        <v>3</v>
      </c>
      <c r="L142" s="2" t="s">
        <v>46</v>
      </c>
      <c r="M142" s="2" t="s">
        <v>47</v>
      </c>
      <c r="N142" s="2">
        <v>1584.42</v>
      </c>
    </row>
    <row r="143" spans="1:14">
      <c r="A143" s="2" t="s">
        <v>599</v>
      </c>
      <c r="B143" s="2">
        <v>45248</v>
      </c>
      <c r="C143" s="2" t="s">
        <v>600</v>
      </c>
      <c r="D143" s="2" t="s">
        <v>9</v>
      </c>
      <c r="E143" s="2">
        <v>3</v>
      </c>
      <c r="F143" s="2">
        <v>684.14</v>
      </c>
      <c r="G143" s="2" t="s">
        <v>601</v>
      </c>
      <c r="H143" s="2" t="s">
        <v>71</v>
      </c>
      <c r="I143" s="2" t="s">
        <v>44</v>
      </c>
      <c r="J143" s="2" t="s">
        <v>602</v>
      </c>
      <c r="K143" s="2">
        <v>3</v>
      </c>
      <c r="L143" s="2" t="s">
        <v>87</v>
      </c>
      <c r="M143" s="2" t="s">
        <v>33</v>
      </c>
      <c r="N143" s="2">
        <v>2052.42</v>
      </c>
    </row>
    <row r="144" spans="1:14">
      <c r="A144" s="2" t="s">
        <v>603</v>
      </c>
      <c r="B144" s="2">
        <v>45175</v>
      </c>
      <c r="C144" s="2" t="s">
        <v>604</v>
      </c>
      <c r="D144" s="2" t="s">
        <v>5</v>
      </c>
      <c r="E144" s="2">
        <v>5</v>
      </c>
      <c r="F144" s="2">
        <v>272.77</v>
      </c>
      <c r="G144" s="2" t="s">
        <v>605</v>
      </c>
      <c r="H144" s="2" t="s">
        <v>71</v>
      </c>
      <c r="I144" s="2" t="s">
        <v>95</v>
      </c>
      <c r="J144" s="2" t="s">
        <v>606</v>
      </c>
      <c r="K144" s="2">
        <v>7</v>
      </c>
      <c r="L144" s="2" t="s">
        <v>87</v>
      </c>
      <c r="M144" s="2" t="s">
        <v>47</v>
      </c>
      <c r="N144" s="2">
        <v>1363.85</v>
      </c>
    </row>
    <row r="145" spans="1:14">
      <c r="A145" s="2" t="s">
        <v>607</v>
      </c>
      <c r="B145" s="2">
        <v>45456</v>
      </c>
      <c r="C145" s="2" t="s">
        <v>608</v>
      </c>
      <c r="D145" s="2" t="s">
        <v>4</v>
      </c>
      <c r="E145" s="2">
        <v>4</v>
      </c>
      <c r="F145" s="2">
        <v>400.07</v>
      </c>
      <c r="G145" s="2" t="s">
        <v>609</v>
      </c>
      <c r="H145" s="2" t="s">
        <v>37</v>
      </c>
      <c r="I145" s="2" t="s">
        <v>30</v>
      </c>
      <c r="J145" s="2" t="s">
        <v>610</v>
      </c>
      <c r="K145" s="2">
        <v>5</v>
      </c>
      <c r="L145" s="2" t="s">
        <v>77</v>
      </c>
      <c r="M145" s="2" t="s">
        <v>39</v>
      </c>
      <c r="N145" s="2">
        <v>1600.28</v>
      </c>
    </row>
    <row r="146" spans="1:14">
      <c r="A146" s="2" t="s">
        <v>611</v>
      </c>
      <c r="B146" s="2">
        <v>45142</v>
      </c>
      <c r="C146" s="2" t="s">
        <v>612</v>
      </c>
      <c r="D146" s="2" t="s">
        <v>5</v>
      </c>
      <c r="E146" s="2">
        <v>5</v>
      </c>
      <c r="F146" s="2">
        <v>219.78</v>
      </c>
      <c r="G146" s="2" t="s">
        <v>167</v>
      </c>
      <c r="H146" s="2" t="s">
        <v>43</v>
      </c>
      <c r="I146" s="2" t="s">
        <v>95</v>
      </c>
      <c r="J146" s="2" t="s">
        <v>613</v>
      </c>
      <c r="K146" s="2">
        <v>8</v>
      </c>
      <c r="L146" s="2" t="s">
        <v>77</v>
      </c>
      <c r="M146" s="2" t="s">
        <v>53</v>
      </c>
      <c r="N146" s="2">
        <v>1098.9</v>
      </c>
    </row>
    <row r="147" spans="1:14">
      <c r="A147" s="2" t="s">
        <v>614</v>
      </c>
      <c r="B147" s="2">
        <v>45353</v>
      </c>
      <c r="C147" s="2" t="s">
        <v>615</v>
      </c>
      <c r="D147" s="2" t="s">
        <v>9</v>
      </c>
      <c r="E147" s="2">
        <v>3</v>
      </c>
      <c r="F147" s="2">
        <v>146.91</v>
      </c>
      <c r="G147" s="2" t="s">
        <v>616</v>
      </c>
      <c r="H147" s="2" t="s">
        <v>43</v>
      </c>
      <c r="I147" s="2" t="s">
        <v>57</v>
      </c>
      <c r="J147" s="2" t="s">
        <v>617</v>
      </c>
      <c r="K147" s="2">
        <v>6</v>
      </c>
      <c r="L147" s="2" t="s">
        <v>46</v>
      </c>
      <c r="M147" s="2" t="s">
        <v>82</v>
      </c>
      <c r="N147" s="2">
        <v>440.73</v>
      </c>
    </row>
    <row r="148" spans="1:14">
      <c r="A148" s="2" t="s">
        <v>618</v>
      </c>
      <c r="B148" s="2">
        <v>45777</v>
      </c>
      <c r="C148" s="2" t="s">
        <v>619</v>
      </c>
      <c r="D148" s="2" t="s">
        <v>10</v>
      </c>
      <c r="E148" s="2">
        <v>2</v>
      </c>
      <c r="F148" s="2">
        <v>411.49</v>
      </c>
      <c r="G148" s="2" t="s">
        <v>620</v>
      </c>
      <c r="H148" s="2" t="s">
        <v>43</v>
      </c>
      <c r="I148" s="2" t="s">
        <v>51</v>
      </c>
      <c r="J148" s="2" t="s">
        <v>621</v>
      </c>
      <c r="K148" s="2">
        <v>4</v>
      </c>
      <c r="L148" s="2" t="s">
        <v>77</v>
      </c>
      <c r="M148" s="2" t="s">
        <v>33</v>
      </c>
      <c r="N148" s="2">
        <v>822.98</v>
      </c>
    </row>
    <row r="149" spans="1:14">
      <c r="A149" s="2" t="s">
        <v>622</v>
      </c>
      <c r="B149" s="2">
        <v>45783</v>
      </c>
      <c r="C149" s="2" t="s">
        <v>623</v>
      </c>
      <c r="D149" s="2" t="s">
        <v>6</v>
      </c>
      <c r="E149" s="2">
        <v>2</v>
      </c>
      <c r="F149" s="2">
        <v>465.18</v>
      </c>
      <c r="G149" s="2" t="s">
        <v>624</v>
      </c>
      <c r="H149" s="2" t="s">
        <v>43</v>
      </c>
      <c r="I149" s="2" t="s">
        <v>44</v>
      </c>
      <c r="J149" s="2" t="s">
        <v>625</v>
      </c>
      <c r="K149" s="2">
        <v>2</v>
      </c>
      <c r="L149" s="2" t="s">
        <v>32</v>
      </c>
      <c r="M149" s="2" t="s">
        <v>82</v>
      </c>
      <c r="N149" s="2">
        <v>930.36</v>
      </c>
    </row>
    <row r="150" spans="1:14">
      <c r="A150" s="2" t="s">
        <v>626</v>
      </c>
      <c r="B150" s="2">
        <v>45641</v>
      </c>
      <c r="C150" s="2" t="s">
        <v>627</v>
      </c>
      <c r="D150" s="2" t="s">
        <v>8</v>
      </c>
      <c r="E150" s="2">
        <v>2</v>
      </c>
      <c r="F150" s="2">
        <v>319.91</v>
      </c>
      <c r="G150" s="2" t="s">
        <v>628</v>
      </c>
      <c r="H150" s="2" t="s">
        <v>43</v>
      </c>
      <c r="I150" s="2" t="s">
        <v>44</v>
      </c>
      <c r="J150" s="2" t="s">
        <v>629</v>
      </c>
      <c r="K150" s="2">
        <v>3</v>
      </c>
      <c r="L150" s="2" t="s">
        <v>87</v>
      </c>
      <c r="M150" s="2" t="s">
        <v>82</v>
      </c>
      <c r="N150" s="2">
        <v>639.82</v>
      </c>
    </row>
    <row r="151" spans="1:14">
      <c r="A151" s="2" t="s">
        <v>630</v>
      </c>
      <c r="B151" s="2">
        <v>45287</v>
      </c>
      <c r="C151" s="2" t="s">
        <v>631</v>
      </c>
      <c r="D151" s="2" t="s">
        <v>6</v>
      </c>
      <c r="E151" s="2">
        <v>1</v>
      </c>
      <c r="F151" s="2">
        <v>217.56</v>
      </c>
      <c r="G151" s="2" t="s">
        <v>632</v>
      </c>
      <c r="H151" s="2" t="s">
        <v>29</v>
      </c>
      <c r="I151" s="2" t="s">
        <v>57</v>
      </c>
      <c r="J151" s="2" t="s">
        <v>633</v>
      </c>
      <c r="K151" s="2">
        <v>3</v>
      </c>
      <c r="L151" s="2" t="s">
        <v>77</v>
      </c>
      <c r="M151" s="2" t="s">
        <v>53</v>
      </c>
      <c r="N151" s="2">
        <v>217.56</v>
      </c>
    </row>
    <row r="152" spans="1:14">
      <c r="A152" s="2" t="s">
        <v>634</v>
      </c>
      <c r="B152" s="2">
        <v>45273</v>
      </c>
      <c r="C152" s="2" t="s">
        <v>635</v>
      </c>
      <c r="D152" s="2" t="s">
        <v>8</v>
      </c>
      <c r="E152" s="2">
        <v>2</v>
      </c>
      <c r="F152" s="2">
        <v>105.57</v>
      </c>
      <c r="G152" s="2" t="s">
        <v>636</v>
      </c>
      <c r="H152" s="2" t="s">
        <v>29</v>
      </c>
      <c r="I152" s="2" t="s">
        <v>51</v>
      </c>
      <c r="J152" s="2" t="s">
        <v>637</v>
      </c>
      <c r="K152" s="2">
        <v>5</v>
      </c>
      <c r="L152" s="2" t="s">
        <v>87</v>
      </c>
      <c r="M152" s="2" t="s">
        <v>82</v>
      </c>
      <c r="N152" s="2">
        <v>211.14</v>
      </c>
    </row>
    <row r="153" spans="1:14">
      <c r="A153" s="2" t="s">
        <v>638</v>
      </c>
      <c r="B153" s="2">
        <v>45261</v>
      </c>
      <c r="C153" s="2" t="s">
        <v>639</v>
      </c>
      <c r="D153" s="2" t="s">
        <v>9</v>
      </c>
      <c r="E153" s="2">
        <v>5</v>
      </c>
      <c r="F153" s="2">
        <v>444.76</v>
      </c>
      <c r="G153" s="2" t="s">
        <v>640</v>
      </c>
      <c r="H153" s="2" t="s">
        <v>29</v>
      </c>
      <c r="I153" s="2" t="s">
        <v>51</v>
      </c>
      <c r="J153" s="2" t="s">
        <v>641</v>
      </c>
      <c r="K153" s="2">
        <v>7</v>
      </c>
      <c r="L153" s="2" t="s">
        <v>77</v>
      </c>
      <c r="M153" s="2" t="s">
        <v>47</v>
      </c>
      <c r="N153" s="2">
        <v>2223.8</v>
      </c>
    </row>
    <row r="154" spans="1:14">
      <c r="A154" s="2" t="s">
        <v>642</v>
      </c>
      <c r="B154" s="2">
        <v>45659</v>
      </c>
      <c r="C154" s="2" t="s">
        <v>643</v>
      </c>
      <c r="D154" s="2" t="s">
        <v>4</v>
      </c>
      <c r="E154" s="2">
        <v>2</v>
      </c>
      <c r="F154" s="2">
        <v>399.04</v>
      </c>
      <c r="G154" s="2" t="s">
        <v>644</v>
      </c>
      <c r="H154" s="2" t="s">
        <v>71</v>
      </c>
      <c r="I154" s="2" t="s">
        <v>44</v>
      </c>
      <c r="J154" s="2" t="s">
        <v>645</v>
      </c>
      <c r="K154" s="2">
        <v>3</v>
      </c>
      <c r="L154" s="2" t="s">
        <v>46</v>
      </c>
      <c r="M154" s="2" t="s">
        <v>39</v>
      </c>
      <c r="N154" s="2">
        <v>798.08</v>
      </c>
    </row>
    <row r="155" spans="1:14">
      <c r="A155" s="2" t="s">
        <v>646</v>
      </c>
      <c r="B155" s="2">
        <v>45644</v>
      </c>
      <c r="C155" s="2" t="s">
        <v>647</v>
      </c>
      <c r="D155" s="2" t="s">
        <v>4</v>
      </c>
      <c r="E155" s="2">
        <v>4</v>
      </c>
      <c r="F155" s="2">
        <v>534.48</v>
      </c>
      <c r="G155" s="2" t="s">
        <v>648</v>
      </c>
      <c r="H155" s="2" t="s">
        <v>37</v>
      </c>
      <c r="I155" s="2" t="s">
        <v>51</v>
      </c>
      <c r="J155" s="2" t="s">
        <v>649</v>
      </c>
      <c r="K155" s="2">
        <v>9</v>
      </c>
      <c r="L155" s="2" t="s">
        <v>87</v>
      </c>
      <c r="M155" s="2" t="s">
        <v>33</v>
      </c>
      <c r="N155" s="2">
        <v>2137.92</v>
      </c>
    </row>
    <row r="156" spans="1:14">
      <c r="A156" s="2" t="s">
        <v>650</v>
      </c>
      <c r="B156" s="2">
        <v>45127</v>
      </c>
      <c r="C156" s="2" t="s">
        <v>651</v>
      </c>
      <c r="D156" s="2" t="s">
        <v>8</v>
      </c>
      <c r="E156" s="2">
        <v>4</v>
      </c>
      <c r="F156" s="2">
        <v>408.21</v>
      </c>
      <c r="G156" s="2" t="s">
        <v>531</v>
      </c>
      <c r="H156" s="2" t="s">
        <v>43</v>
      </c>
      <c r="I156" s="2" t="s">
        <v>95</v>
      </c>
      <c r="J156" s="2" t="s">
        <v>652</v>
      </c>
      <c r="K156" s="2">
        <v>9</v>
      </c>
      <c r="L156" s="2" t="s">
        <v>77</v>
      </c>
      <c r="M156" s="2" t="s">
        <v>33</v>
      </c>
      <c r="N156" s="2">
        <v>1632.84</v>
      </c>
    </row>
    <row r="157" spans="1:14">
      <c r="A157" s="2" t="s">
        <v>653</v>
      </c>
      <c r="B157" s="2">
        <v>44984</v>
      </c>
      <c r="C157" s="2" t="s">
        <v>654</v>
      </c>
      <c r="D157" s="2" t="s">
        <v>8</v>
      </c>
      <c r="E157" s="2">
        <v>1</v>
      </c>
      <c r="F157" s="2">
        <v>424.4</v>
      </c>
      <c r="G157" s="2" t="s">
        <v>244</v>
      </c>
      <c r="H157" s="2" t="s">
        <v>37</v>
      </c>
      <c r="I157" s="2" t="s">
        <v>30</v>
      </c>
      <c r="J157" s="2" t="s">
        <v>655</v>
      </c>
      <c r="K157" s="2">
        <v>6</v>
      </c>
      <c r="L157" s="2" t="s">
        <v>87</v>
      </c>
      <c r="M157" s="2" t="s">
        <v>39</v>
      </c>
      <c r="N157" s="2">
        <v>424.4</v>
      </c>
    </row>
    <row r="158" spans="1:14">
      <c r="A158" s="2" t="s">
        <v>656</v>
      </c>
      <c r="B158" s="2">
        <v>45604</v>
      </c>
      <c r="C158" s="2" t="s">
        <v>657</v>
      </c>
      <c r="D158" s="2" t="s">
        <v>4</v>
      </c>
      <c r="E158" s="2">
        <v>2</v>
      </c>
      <c r="F158" s="2">
        <v>269.83</v>
      </c>
      <c r="G158" s="2" t="s">
        <v>658</v>
      </c>
      <c r="H158" s="2" t="s">
        <v>37</v>
      </c>
      <c r="I158" s="2" t="s">
        <v>57</v>
      </c>
      <c r="J158" s="2" t="s">
        <v>659</v>
      </c>
      <c r="K158" s="2">
        <v>4</v>
      </c>
      <c r="L158" s="2" t="s">
        <v>32</v>
      </c>
      <c r="M158" s="2" t="s">
        <v>47</v>
      </c>
      <c r="N158" s="2">
        <v>539.66</v>
      </c>
    </row>
    <row r="159" spans="1:14">
      <c r="A159" s="2" t="s">
        <v>660</v>
      </c>
      <c r="B159" s="2">
        <v>45709</v>
      </c>
      <c r="C159" s="2" t="s">
        <v>661</v>
      </c>
      <c r="D159" s="2" t="s">
        <v>7</v>
      </c>
      <c r="E159" s="2">
        <v>2</v>
      </c>
      <c r="F159" s="2">
        <v>564.58</v>
      </c>
      <c r="G159" s="2" t="s">
        <v>571</v>
      </c>
      <c r="H159" s="2" t="s">
        <v>37</v>
      </c>
      <c r="I159" s="2" t="s">
        <v>51</v>
      </c>
      <c r="J159" s="2" t="s">
        <v>662</v>
      </c>
      <c r="K159" s="2">
        <v>4</v>
      </c>
      <c r="L159" s="2" t="s">
        <v>87</v>
      </c>
      <c r="M159" s="2" t="s">
        <v>53</v>
      </c>
      <c r="N159" s="2">
        <v>1129.16</v>
      </c>
    </row>
    <row r="160" spans="1:14">
      <c r="A160" s="2" t="s">
        <v>663</v>
      </c>
      <c r="B160" s="2">
        <v>45428</v>
      </c>
      <c r="C160" s="2" t="s">
        <v>664</v>
      </c>
      <c r="D160" s="2" t="s">
        <v>10</v>
      </c>
      <c r="E160" s="2">
        <v>1</v>
      </c>
      <c r="F160" s="2">
        <v>331.06</v>
      </c>
      <c r="G160" s="2" t="s">
        <v>665</v>
      </c>
      <c r="H160" s="2" t="s">
        <v>43</v>
      </c>
      <c r="I160" s="2" t="s">
        <v>95</v>
      </c>
      <c r="J160" s="2" t="s">
        <v>666</v>
      </c>
      <c r="K160" s="2">
        <v>5</v>
      </c>
      <c r="L160" s="2" t="s">
        <v>87</v>
      </c>
      <c r="M160" s="2" t="s">
        <v>33</v>
      </c>
      <c r="N160" s="2">
        <v>331.06</v>
      </c>
    </row>
    <row r="161" spans="1:14">
      <c r="A161" s="2" t="s">
        <v>667</v>
      </c>
      <c r="B161" s="2">
        <v>45230</v>
      </c>
      <c r="C161" s="2" t="s">
        <v>668</v>
      </c>
      <c r="D161" s="2" t="s">
        <v>9</v>
      </c>
      <c r="E161" s="2">
        <v>1</v>
      </c>
      <c r="F161" s="2">
        <v>299.35</v>
      </c>
      <c r="G161" s="2" t="s">
        <v>669</v>
      </c>
      <c r="H161" s="2" t="s">
        <v>43</v>
      </c>
      <c r="I161" s="2" t="s">
        <v>44</v>
      </c>
      <c r="J161" s="2" t="s">
        <v>670</v>
      </c>
      <c r="K161" s="2">
        <v>5</v>
      </c>
      <c r="L161" s="2" t="s">
        <v>87</v>
      </c>
      <c r="M161" s="2" t="s">
        <v>47</v>
      </c>
      <c r="N161" s="2">
        <v>299.35</v>
      </c>
    </row>
    <row r="162" spans="1:14">
      <c r="A162" s="2" t="s">
        <v>671</v>
      </c>
      <c r="B162" s="2">
        <v>44974</v>
      </c>
      <c r="C162" s="2" t="s">
        <v>672</v>
      </c>
      <c r="D162" s="2" t="s">
        <v>7</v>
      </c>
      <c r="E162" s="2">
        <v>4</v>
      </c>
      <c r="F162" s="2">
        <v>101.32</v>
      </c>
      <c r="G162" s="2" t="s">
        <v>673</v>
      </c>
      <c r="H162" s="2" t="s">
        <v>71</v>
      </c>
      <c r="I162" s="2" t="s">
        <v>95</v>
      </c>
      <c r="J162" s="2" t="s">
        <v>674</v>
      </c>
      <c r="K162" s="2">
        <v>7</v>
      </c>
      <c r="L162" s="2" t="s">
        <v>77</v>
      </c>
      <c r="M162" s="2" t="s">
        <v>39</v>
      </c>
      <c r="N162" s="2">
        <v>405.28</v>
      </c>
    </row>
    <row r="163" spans="1:14">
      <c r="A163" s="2" t="s">
        <v>675</v>
      </c>
      <c r="B163" s="2">
        <v>45380</v>
      </c>
      <c r="C163" s="2" t="s">
        <v>676</v>
      </c>
      <c r="D163" s="2" t="s">
        <v>7</v>
      </c>
      <c r="E163" s="2">
        <v>1</v>
      </c>
      <c r="F163" s="2">
        <v>211.14</v>
      </c>
      <c r="G163" s="2" t="s">
        <v>559</v>
      </c>
      <c r="H163" s="2" t="s">
        <v>43</v>
      </c>
      <c r="I163" s="2" t="s">
        <v>44</v>
      </c>
      <c r="J163" s="2" t="s">
        <v>677</v>
      </c>
      <c r="K163" s="2">
        <v>1</v>
      </c>
      <c r="L163" s="2" t="s">
        <v>32</v>
      </c>
      <c r="M163" s="2" t="s">
        <v>53</v>
      </c>
      <c r="N163" s="2">
        <v>211.14</v>
      </c>
    </row>
    <row r="164" spans="1:14">
      <c r="A164" s="2" t="s">
        <v>678</v>
      </c>
      <c r="B164" s="2">
        <v>45134</v>
      </c>
      <c r="C164" s="2" t="s">
        <v>679</v>
      </c>
      <c r="D164" s="2" t="s">
        <v>4</v>
      </c>
      <c r="E164" s="2">
        <v>3</v>
      </c>
      <c r="F164" s="2">
        <v>65.86</v>
      </c>
      <c r="G164" s="2" t="s">
        <v>341</v>
      </c>
      <c r="H164" s="2" t="s">
        <v>37</v>
      </c>
      <c r="I164" s="2" t="s">
        <v>95</v>
      </c>
      <c r="J164" s="2" t="s">
        <v>680</v>
      </c>
      <c r="K164" s="2">
        <v>8</v>
      </c>
      <c r="L164" s="2" t="s">
        <v>87</v>
      </c>
      <c r="M164" s="2" t="s">
        <v>82</v>
      </c>
      <c r="N164" s="2">
        <v>197.58</v>
      </c>
    </row>
    <row r="165" spans="1:14">
      <c r="A165" s="2" t="s">
        <v>681</v>
      </c>
      <c r="B165" s="2">
        <v>45832</v>
      </c>
      <c r="C165" s="2" t="s">
        <v>682</v>
      </c>
      <c r="D165" s="2" t="s">
        <v>10</v>
      </c>
      <c r="E165" s="2">
        <v>1</v>
      </c>
      <c r="F165" s="2">
        <v>641.39</v>
      </c>
      <c r="G165" s="2" t="s">
        <v>683</v>
      </c>
      <c r="H165" s="2" t="s">
        <v>37</v>
      </c>
      <c r="I165" s="2" t="s">
        <v>44</v>
      </c>
      <c r="J165" s="2" t="s">
        <v>684</v>
      </c>
      <c r="K165" s="2">
        <v>1</v>
      </c>
      <c r="L165" s="2" t="s">
        <v>77</v>
      </c>
      <c r="M165" s="2" t="s">
        <v>39</v>
      </c>
      <c r="N165" s="2">
        <v>641.39</v>
      </c>
    </row>
    <row r="166" spans="1:14">
      <c r="A166" s="2" t="s">
        <v>685</v>
      </c>
      <c r="B166" s="2">
        <v>45288</v>
      </c>
      <c r="C166" s="2" t="s">
        <v>686</v>
      </c>
      <c r="D166" s="2" t="s">
        <v>5</v>
      </c>
      <c r="E166" s="2">
        <v>5</v>
      </c>
      <c r="F166" s="2">
        <v>536.58</v>
      </c>
      <c r="G166" s="2" t="s">
        <v>687</v>
      </c>
      <c r="H166" s="2" t="s">
        <v>66</v>
      </c>
      <c r="I166" s="2" t="s">
        <v>95</v>
      </c>
      <c r="J166" s="2" t="s">
        <v>688</v>
      </c>
      <c r="K166" s="2">
        <v>5</v>
      </c>
      <c r="L166" s="2" t="s">
        <v>32</v>
      </c>
      <c r="M166" s="2" t="s">
        <v>82</v>
      </c>
      <c r="N166" s="2">
        <v>2682.9</v>
      </c>
    </row>
    <row r="167" spans="1:14">
      <c r="A167" s="2" t="s">
        <v>689</v>
      </c>
      <c r="B167" s="2">
        <v>45549</v>
      </c>
      <c r="C167" s="2" t="s">
        <v>690</v>
      </c>
      <c r="D167" s="2" t="s">
        <v>7</v>
      </c>
      <c r="E167" s="2">
        <v>2</v>
      </c>
      <c r="F167" s="2">
        <v>500.29</v>
      </c>
      <c r="G167" s="2" t="s">
        <v>691</v>
      </c>
      <c r="H167" s="2" t="s">
        <v>37</v>
      </c>
      <c r="I167" s="2" t="s">
        <v>51</v>
      </c>
      <c r="J167" s="2" t="s">
        <v>692</v>
      </c>
      <c r="K167" s="2">
        <v>7</v>
      </c>
      <c r="L167" s="2" t="s">
        <v>87</v>
      </c>
      <c r="M167" s="2" t="s">
        <v>82</v>
      </c>
      <c r="N167" s="2">
        <v>1000.58</v>
      </c>
    </row>
    <row r="168" spans="1:14">
      <c r="A168" s="2" t="s">
        <v>693</v>
      </c>
      <c r="B168" s="2">
        <v>45720</v>
      </c>
      <c r="C168" s="2" t="s">
        <v>694</v>
      </c>
      <c r="D168" s="2" t="s">
        <v>4</v>
      </c>
      <c r="E168" s="2">
        <v>3</v>
      </c>
      <c r="F168" s="2">
        <v>86.29</v>
      </c>
      <c r="G168" s="2" t="s">
        <v>263</v>
      </c>
      <c r="H168" s="2" t="s">
        <v>71</v>
      </c>
      <c r="I168" s="2" t="s">
        <v>57</v>
      </c>
      <c r="J168" s="2" t="s">
        <v>695</v>
      </c>
      <c r="K168" s="2">
        <v>6</v>
      </c>
      <c r="L168" s="2" t="s">
        <v>87</v>
      </c>
      <c r="M168" s="2" t="s">
        <v>33</v>
      </c>
      <c r="N168" s="2">
        <v>258.87</v>
      </c>
    </row>
    <row r="169" spans="1:14">
      <c r="A169" s="2" t="s">
        <v>696</v>
      </c>
      <c r="B169" s="2">
        <v>45073</v>
      </c>
      <c r="C169" s="2" t="s">
        <v>697</v>
      </c>
      <c r="D169" s="2" t="s">
        <v>4</v>
      </c>
      <c r="E169" s="2">
        <v>2</v>
      </c>
      <c r="F169" s="2">
        <v>384.14</v>
      </c>
      <c r="G169" s="2" t="s">
        <v>698</v>
      </c>
      <c r="H169" s="2" t="s">
        <v>37</v>
      </c>
      <c r="I169" s="2" t="s">
        <v>51</v>
      </c>
      <c r="J169" s="2" t="s">
        <v>699</v>
      </c>
      <c r="K169" s="2">
        <v>2</v>
      </c>
      <c r="L169" s="2" t="s">
        <v>87</v>
      </c>
      <c r="M169" s="2" t="s">
        <v>47</v>
      </c>
      <c r="N169" s="2">
        <v>768.28</v>
      </c>
    </row>
    <row r="170" spans="1:14">
      <c r="A170" s="2" t="s">
        <v>700</v>
      </c>
      <c r="B170" s="2">
        <v>45661</v>
      </c>
      <c r="C170" s="2" t="s">
        <v>701</v>
      </c>
      <c r="D170" s="2" t="s">
        <v>9</v>
      </c>
      <c r="E170" s="2">
        <v>1</v>
      </c>
      <c r="F170" s="2">
        <v>594.96</v>
      </c>
      <c r="G170" s="2" t="s">
        <v>702</v>
      </c>
      <c r="H170" s="2" t="s">
        <v>71</v>
      </c>
      <c r="I170" s="2" t="s">
        <v>51</v>
      </c>
      <c r="J170" s="2" t="s">
        <v>703</v>
      </c>
      <c r="K170" s="2">
        <v>6</v>
      </c>
      <c r="L170" s="2" t="s">
        <v>77</v>
      </c>
      <c r="M170" s="2" t="s">
        <v>53</v>
      </c>
      <c r="N170" s="2">
        <v>594.96</v>
      </c>
    </row>
    <row r="171" spans="1:14">
      <c r="A171" s="2" t="s">
        <v>704</v>
      </c>
      <c r="B171" s="2">
        <v>45389</v>
      </c>
      <c r="C171" s="2" t="s">
        <v>705</v>
      </c>
      <c r="D171" s="2" t="s">
        <v>9</v>
      </c>
      <c r="E171" s="2">
        <v>1</v>
      </c>
      <c r="F171" s="2">
        <v>427.82</v>
      </c>
      <c r="G171" s="2" t="s">
        <v>706</v>
      </c>
      <c r="H171" s="2" t="s">
        <v>37</v>
      </c>
      <c r="I171" s="2" t="s">
        <v>57</v>
      </c>
      <c r="J171" s="2" t="s">
        <v>707</v>
      </c>
      <c r="K171" s="2">
        <v>2</v>
      </c>
      <c r="L171" s="2" t="s">
        <v>87</v>
      </c>
      <c r="M171" s="2" t="s">
        <v>47</v>
      </c>
      <c r="N171" s="2">
        <v>427.82</v>
      </c>
    </row>
    <row r="172" spans="1:14">
      <c r="A172" s="2" t="s">
        <v>708</v>
      </c>
      <c r="B172" s="2">
        <v>45751</v>
      </c>
      <c r="C172" s="2" t="s">
        <v>709</v>
      </c>
      <c r="D172" s="2" t="s">
        <v>5</v>
      </c>
      <c r="E172" s="2">
        <v>4</v>
      </c>
      <c r="F172" s="2">
        <v>662.94</v>
      </c>
      <c r="G172" s="2" t="s">
        <v>710</v>
      </c>
      <c r="H172" s="2" t="s">
        <v>71</v>
      </c>
      <c r="I172" s="2" t="s">
        <v>44</v>
      </c>
      <c r="J172" s="2" t="s">
        <v>711</v>
      </c>
      <c r="K172" s="2">
        <v>8</v>
      </c>
      <c r="L172" s="2" t="s">
        <v>32</v>
      </c>
      <c r="M172" s="2" t="s">
        <v>33</v>
      </c>
      <c r="N172" s="2">
        <v>2651.76</v>
      </c>
    </row>
    <row r="173" spans="1:14">
      <c r="A173" s="2" t="s">
        <v>712</v>
      </c>
      <c r="B173" s="2">
        <v>45153</v>
      </c>
      <c r="C173" s="2" t="s">
        <v>713</v>
      </c>
      <c r="D173" s="2" t="s">
        <v>10</v>
      </c>
      <c r="E173" s="2">
        <v>2</v>
      </c>
      <c r="F173" s="2">
        <v>148.22</v>
      </c>
      <c r="G173" s="2" t="s">
        <v>714</v>
      </c>
      <c r="H173" s="2" t="s">
        <v>43</v>
      </c>
      <c r="I173" s="2" t="s">
        <v>57</v>
      </c>
      <c r="J173" s="2" t="s">
        <v>715</v>
      </c>
      <c r="K173" s="2">
        <v>7</v>
      </c>
      <c r="L173" s="2" t="s">
        <v>87</v>
      </c>
      <c r="M173" s="2" t="s">
        <v>33</v>
      </c>
      <c r="N173" s="2">
        <v>296.44</v>
      </c>
    </row>
    <row r="174" spans="1:14">
      <c r="A174" s="2" t="s">
        <v>716</v>
      </c>
      <c r="B174" s="2">
        <v>45753</v>
      </c>
      <c r="C174" s="2" t="s">
        <v>717</v>
      </c>
      <c r="D174" s="2" t="s">
        <v>9</v>
      </c>
      <c r="E174" s="2">
        <v>1</v>
      </c>
      <c r="F174" s="2">
        <v>254.12</v>
      </c>
      <c r="G174" s="2" t="s">
        <v>547</v>
      </c>
      <c r="H174" s="2" t="s">
        <v>37</v>
      </c>
      <c r="I174" s="2" t="s">
        <v>57</v>
      </c>
      <c r="J174" s="2" t="s">
        <v>718</v>
      </c>
      <c r="K174" s="2">
        <v>1</v>
      </c>
      <c r="L174" s="2" t="s">
        <v>87</v>
      </c>
      <c r="M174" s="2" t="s">
        <v>47</v>
      </c>
      <c r="N174" s="2">
        <v>254.12</v>
      </c>
    </row>
    <row r="175" spans="1:14">
      <c r="A175" s="2" t="s">
        <v>719</v>
      </c>
      <c r="B175" s="2">
        <v>45375</v>
      </c>
      <c r="C175" s="2" t="s">
        <v>720</v>
      </c>
      <c r="D175" s="2" t="s">
        <v>8</v>
      </c>
      <c r="E175" s="2">
        <v>3</v>
      </c>
      <c r="F175" s="2">
        <v>664.46</v>
      </c>
      <c r="G175" s="2" t="s">
        <v>721</v>
      </c>
      <c r="H175" s="2" t="s">
        <v>37</v>
      </c>
      <c r="I175" s="2" t="s">
        <v>57</v>
      </c>
      <c r="J175" s="2" t="s">
        <v>722</v>
      </c>
      <c r="K175" s="2">
        <v>4</v>
      </c>
      <c r="L175" s="2" t="s">
        <v>46</v>
      </c>
      <c r="M175" s="2" t="s">
        <v>82</v>
      </c>
      <c r="N175" s="2">
        <v>1993.38</v>
      </c>
    </row>
    <row r="176" spans="1:14">
      <c r="A176" s="2" t="s">
        <v>723</v>
      </c>
      <c r="B176" s="2">
        <v>45398</v>
      </c>
      <c r="C176" s="2" t="s">
        <v>724</v>
      </c>
      <c r="D176" s="2" t="s">
        <v>9</v>
      </c>
      <c r="E176" s="2">
        <v>4</v>
      </c>
      <c r="F176" s="2">
        <v>600.81</v>
      </c>
      <c r="G176" s="2" t="s">
        <v>725</v>
      </c>
      <c r="H176" s="2" t="s">
        <v>29</v>
      </c>
      <c r="I176" s="2" t="s">
        <v>57</v>
      </c>
      <c r="J176" s="2" t="s">
        <v>726</v>
      </c>
      <c r="K176" s="2">
        <v>9</v>
      </c>
      <c r="L176" s="2" t="s">
        <v>32</v>
      </c>
      <c r="M176" s="2" t="s">
        <v>47</v>
      </c>
      <c r="N176" s="2">
        <v>2403.24</v>
      </c>
    </row>
    <row r="177" spans="1:14">
      <c r="A177" s="2" t="s">
        <v>727</v>
      </c>
      <c r="B177" s="2">
        <v>45696</v>
      </c>
      <c r="C177" s="2" t="s">
        <v>728</v>
      </c>
      <c r="D177" s="2" t="s">
        <v>4</v>
      </c>
      <c r="E177" s="2">
        <v>5</v>
      </c>
      <c r="F177" s="2">
        <v>68.34</v>
      </c>
      <c r="G177" s="2" t="s">
        <v>729</v>
      </c>
      <c r="H177" s="2" t="s">
        <v>29</v>
      </c>
      <c r="I177" s="2" t="s">
        <v>95</v>
      </c>
      <c r="J177" s="2" t="s">
        <v>730</v>
      </c>
      <c r="K177" s="2">
        <v>6</v>
      </c>
      <c r="L177" s="2" t="s">
        <v>87</v>
      </c>
      <c r="M177" s="2" t="s">
        <v>39</v>
      </c>
      <c r="N177" s="2">
        <v>341.7</v>
      </c>
    </row>
    <row r="178" spans="1:14">
      <c r="A178" s="2" t="s">
        <v>731</v>
      </c>
      <c r="B178" s="2">
        <v>45836</v>
      </c>
      <c r="C178" s="2" t="s">
        <v>732</v>
      </c>
      <c r="D178" s="2" t="s">
        <v>10</v>
      </c>
      <c r="E178" s="2">
        <v>4</v>
      </c>
      <c r="F178" s="2">
        <v>430.83</v>
      </c>
      <c r="G178" s="2" t="s">
        <v>733</v>
      </c>
      <c r="H178" s="2" t="s">
        <v>66</v>
      </c>
      <c r="I178" s="2" t="s">
        <v>95</v>
      </c>
      <c r="J178" s="2" t="s">
        <v>734</v>
      </c>
      <c r="K178" s="2">
        <v>8</v>
      </c>
      <c r="L178" s="2" t="s">
        <v>87</v>
      </c>
      <c r="M178" s="2" t="s">
        <v>39</v>
      </c>
      <c r="N178" s="2">
        <v>1723.32</v>
      </c>
    </row>
    <row r="179" spans="1:14">
      <c r="A179" s="2" t="s">
        <v>735</v>
      </c>
      <c r="B179" s="2">
        <v>45143</v>
      </c>
      <c r="C179" s="2" t="s">
        <v>736</v>
      </c>
      <c r="D179" s="2" t="s">
        <v>4</v>
      </c>
      <c r="E179" s="2">
        <v>5</v>
      </c>
      <c r="F179" s="2">
        <v>431.69</v>
      </c>
      <c r="G179" s="2" t="s">
        <v>737</v>
      </c>
      <c r="H179" s="2" t="s">
        <v>43</v>
      </c>
      <c r="I179" s="2" t="s">
        <v>95</v>
      </c>
      <c r="J179" s="2" t="s">
        <v>738</v>
      </c>
      <c r="K179" s="2">
        <v>10</v>
      </c>
      <c r="L179" s="2" t="s">
        <v>77</v>
      </c>
      <c r="M179" s="2" t="s">
        <v>53</v>
      </c>
      <c r="N179" s="2">
        <v>2158.45</v>
      </c>
    </row>
    <row r="180" spans="1:14">
      <c r="A180" s="2" t="s">
        <v>739</v>
      </c>
      <c r="B180" s="2">
        <v>45393</v>
      </c>
      <c r="C180" s="2" t="s">
        <v>740</v>
      </c>
      <c r="D180" s="2" t="s">
        <v>4</v>
      </c>
      <c r="E180" s="2">
        <v>4</v>
      </c>
      <c r="F180" s="2">
        <v>512.06</v>
      </c>
      <c r="G180" s="2" t="s">
        <v>741</v>
      </c>
      <c r="H180" s="2" t="s">
        <v>37</v>
      </c>
      <c r="I180" s="2" t="s">
        <v>57</v>
      </c>
      <c r="J180" s="2" t="s">
        <v>742</v>
      </c>
      <c r="K180" s="2">
        <v>5</v>
      </c>
      <c r="L180" s="2" t="s">
        <v>32</v>
      </c>
      <c r="M180" s="2" t="s">
        <v>82</v>
      </c>
      <c r="N180" s="2">
        <v>2048.24</v>
      </c>
    </row>
    <row r="181" spans="1:14">
      <c r="A181" s="2" t="s">
        <v>743</v>
      </c>
      <c r="B181" s="2">
        <v>45620</v>
      </c>
      <c r="C181" s="2" t="s">
        <v>744</v>
      </c>
      <c r="D181" s="2" t="s">
        <v>6</v>
      </c>
      <c r="E181" s="2">
        <v>3</v>
      </c>
      <c r="F181" s="2">
        <v>539.91</v>
      </c>
      <c r="G181" s="2" t="s">
        <v>745</v>
      </c>
      <c r="H181" s="2" t="s">
        <v>43</v>
      </c>
      <c r="I181" s="2" t="s">
        <v>57</v>
      </c>
      <c r="J181" s="2" t="s">
        <v>746</v>
      </c>
      <c r="K181" s="2">
        <v>8</v>
      </c>
      <c r="L181" s="2" t="s">
        <v>77</v>
      </c>
      <c r="M181" s="2" t="s">
        <v>47</v>
      </c>
      <c r="N181" s="2">
        <v>1619.73</v>
      </c>
    </row>
    <row r="182" spans="1:14">
      <c r="A182" s="2" t="s">
        <v>747</v>
      </c>
      <c r="B182" s="2">
        <v>45003</v>
      </c>
      <c r="C182" s="2" t="s">
        <v>748</v>
      </c>
      <c r="D182" s="2" t="s">
        <v>10</v>
      </c>
      <c r="E182" s="2">
        <v>5</v>
      </c>
      <c r="F182" s="2">
        <v>316.07</v>
      </c>
      <c r="G182" s="2" t="s">
        <v>749</v>
      </c>
      <c r="H182" s="2" t="s">
        <v>71</v>
      </c>
      <c r="I182" s="2" t="s">
        <v>51</v>
      </c>
      <c r="J182" s="2" t="s">
        <v>750</v>
      </c>
      <c r="K182" s="2">
        <v>10</v>
      </c>
      <c r="L182" s="2" t="s">
        <v>77</v>
      </c>
      <c r="M182" s="2" t="s">
        <v>82</v>
      </c>
      <c r="N182" s="2">
        <v>1580.35</v>
      </c>
    </row>
    <row r="183" spans="1:14">
      <c r="A183" s="2" t="s">
        <v>751</v>
      </c>
      <c r="B183" s="2">
        <v>45535</v>
      </c>
      <c r="C183" s="2" t="s">
        <v>752</v>
      </c>
      <c r="D183" s="2" t="s">
        <v>9</v>
      </c>
      <c r="E183" s="2">
        <v>5</v>
      </c>
      <c r="F183" s="2">
        <v>404.39</v>
      </c>
      <c r="G183" s="2" t="s">
        <v>753</v>
      </c>
      <c r="H183" s="2" t="s">
        <v>37</v>
      </c>
      <c r="I183" s="2" t="s">
        <v>30</v>
      </c>
      <c r="J183" s="2" t="s">
        <v>754</v>
      </c>
      <c r="K183" s="2">
        <v>10</v>
      </c>
      <c r="L183" s="2" t="s">
        <v>77</v>
      </c>
      <c r="M183" s="2" t="s">
        <v>39</v>
      </c>
      <c r="N183" s="2">
        <v>2021.95</v>
      </c>
    </row>
    <row r="184" spans="1:14">
      <c r="A184" s="2" t="s">
        <v>755</v>
      </c>
      <c r="B184" s="2">
        <v>45735</v>
      </c>
      <c r="C184" s="2" t="s">
        <v>756</v>
      </c>
      <c r="D184" s="2" t="s">
        <v>5</v>
      </c>
      <c r="E184" s="2">
        <v>1</v>
      </c>
      <c r="F184" s="2">
        <v>600.54</v>
      </c>
      <c r="G184" s="2" t="s">
        <v>757</v>
      </c>
      <c r="H184" s="2" t="s">
        <v>29</v>
      </c>
      <c r="I184" s="2" t="s">
        <v>95</v>
      </c>
      <c r="J184" s="2" t="s">
        <v>758</v>
      </c>
      <c r="K184" s="2">
        <v>4</v>
      </c>
      <c r="L184" s="2" t="s">
        <v>87</v>
      </c>
      <c r="M184" s="2" t="s">
        <v>82</v>
      </c>
      <c r="N184" s="2">
        <v>600.54</v>
      </c>
    </row>
    <row r="185" spans="1:14">
      <c r="A185" s="2" t="s">
        <v>759</v>
      </c>
      <c r="B185" s="2">
        <v>45400</v>
      </c>
      <c r="C185" s="2" t="s">
        <v>760</v>
      </c>
      <c r="D185" s="2" t="s">
        <v>7</v>
      </c>
      <c r="E185" s="2">
        <v>5</v>
      </c>
      <c r="F185" s="2">
        <v>186.28</v>
      </c>
      <c r="G185" s="2" t="s">
        <v>761</v>
      </c>
      <c r="H185" s="2" t="s">
        <v>29</v>
      </c>
      <c r="I185" s="2" t="s">
        <v>57</v>
      </c>
      <c r="J185" s="2" t="s">
        <v>762</v>
      </c>
      <c r="K185" s="2">
        <v>8</v>
      </c>
      <c r="L185" s="2" t="s">
        <v>32</v>
      </c>
      <c r="M185" s="2" t="s">
        <v>47</v>
      </c>
      <c r="N185" s="2">
        <v>931.4</v>
      </c>
    </row>
    <row r="186" spans="1:14">
      <c r="A186" s="2" t="s">
        <v>763</v>
      </c>
      <c r="B186" s="2">
        <v>45386</v>
      </c>
      <c r="C186" s="2" t="s">
        <v>764</v>
      </c>
      <c r="D186" s="2" t="s">
        <v>10</v>
      </c>
      <c r="E186" s="2">
        <v>4</v>
      </c>
      <c r="F186" s="2">
        <v>214.54</v>
      </c>
      <c r="G186" s="2" t="s">
        <v>765</v>
      </c>
      <c r="H186" s="2" t="s">
        <v>66</v>
      </c>
      <c r="I186" s="2" t="s">
        <v>44</v>
      </c>
      <c r="J186" s="2" t="s">
        <v>766</v>
      </c>
      <c r="K186" s="2">
        <v>7</v>
      </c>
      <c r="L186" s="2" t="s">
        <v>77</v>
      </c>
      <c r="M186" s="2" t="s">
        <v>39</v>
      </c>
      <c r="N186" s="2">
        <v>858.16</v>
      </c>
    </row>
    <row r="187" spans="1:14">
      <c r="A187" s="2" t="s">
        <v>767</v>
      </c>
      <c r="B187" s="2">
        <v>45690</v>
      </c>
      <c r="C187" s="2" t="s">
        <v>768</v>
      </c>
      <c r="D187" s="2" t="s">
        <v>6</v>
      </c>
      <c r="E187" s="2">
        <v>1</v>
      </c>
      <c r="F187" s="2">
        <v>210.7</v>
      </c>
      <c r="G187" s="2" t="s">
        <v>769</v>
      </c>
      <c r="H187" s="2" t="s">
        <v>37</v>
      </c>
      <c r="I187" s="2" t="s">
        <v>30</v>
      </c>
      <c r="J187" s="2" t="s">
        <v>770</v>
      </c>
      <c r="K187" s="2">
        <v>2</v>
      </c>
      <c r="L187" s="2" t="s">
        <v>87</v>
      </c>
      <c r="M187" s="2" t="s">
        <v>39</v>
      </c>
      <c r="N187" s="2">
        <v>210.7</v>
      </c>
    </row>
    <row r="188" spans="1:14">
      <c r="A188" s="2" t="s">
        <v>771</v>
      </c>
      <c r="B188" s="2">
        <v>45267</v>
      </c>
      <c r="C188" s="2" t="s">
        <v>772</v>
      </c>
      <c r="D188" s="2" t="s">
        <v>8</v>
      </c>
      <c r="E188" s="2">
        <v>2</v>
      </c>
      <c r="F188" s="2">
        <v>133.55</v>
      </c>
      <c r="G188" s="2" t="s">
        <v>773</v>
      </c>
      <c r="H188" s="2" t="s">
        <v>71</v>
      </c>
      <c r="I188" s="2" t="s">
        <v>95</v>
      </c>
      <c r="J188" s="2" t="s">
        <v>774</v>
      </c>
      <c r="K188" s="2">
        <v>7</v>
      </c>
      <c r="L188" s="2" t="s">
        <v>46</v>
      </c>
      <c r="M188" s="2" t="s">
        <v>53</v>
      </c>
      <c r="N188" s="2">
        <v>267.1</v>
      </c>
    </row>
    <row r="189" spans="1:14">
      <c r="A189" s="2" t="s">
        <v>775</v>
      </c>
      <c r="B189" s="2">
        <v>44965</v>
      </c>
      <c r="C189" s="2" t="s">
        <v>776</v>
      </c>
      <c r="D189" s="2" t="s">
        <v>4</v>
      </c>
      <c r="E189" s="2">
        <v>1</v>
      </c>
      <c r="F189" s="2">
        <v>590.87</v>
      </c>
      <c r="G189" s="2" t="s">
        <v>777</v>
      </c>
      <c r="H189" s="2" t="s">
        <v>66</v>
      </c>
      <c r="I189" s="2" t="s">
        <v>51</v>
      </c>
      <c r="J189" s="2" t="s">
        <v>778</v>
      </c>
      <c r="K189" s="2">
        <v>6</v>
      </c>
      <c r="L189" s="2" t="s">
        <v>46</v>
      </c>
      <c r="M189" s="2" t="s">
        <v>39</v>
      </c>
      <c r="N189" s="2">
        <v>590.87</v>
      </c>
    </row>
    <row r="190" spans="1:14">
      <c r="A190" s="2" t="s">
        <v>779</v>
      </c>
      <c r="B190" s="2">
        <v>45731</v>
      </c>
      <c r="C190" s="2" t="s">
        <v>780</v>
      </c>
      <c r="D190" s="2" t="s">
        <v>4</v>
      </c>
      <c r="E190" s="2">
        <v>2</v>
      </c>
      <c r="F190" s="2">
        <v>363.91</v>
      </c>
      <c r="G190" s="2" t="s">
        <v>781</v>
      </c>
      <c r="H190" s="2" t="s">
        <v>66</v>
      </c>
      <c r="I190" s="2" t="s">
        <v>30</v>
      </c>
      <c r="J190" s="2" t="s">
        <v>782</v>
      </c>
      <c r="K190" s="2">
        <v>2</v>
      </c>
      <c r="L190" s="2" t="s">
        <v>46</v>
      </c>
      <c r="M190" s="2" t="s">
        <v>39</v>
      </c>
      <c r="N190" s="2">
        <v>727.82</v>
      </c>
    </row>
    <row r="191" spans="1:14">
      <c r="A191" s="2" t="s">
        <v>783</v>
      </c>
      <c r="B191" s="2">
        <v>45112</v>
      </c>
      <c r="C191" s="2" t="s">
        <v>784</v>
      </c>
      <c r="D191" s="2" t="s">
        <v>9</v>
      </c>
      <c r="E191" s="2">
        <v>5</v>
      </c>
      <c r="F191" s="2">
        <v>429.45</v>
      </c>
      <c r="G191" s="2" t="s">
        <v>785</v>
      </c>
      <c r="H191" s="2" t="s">
        <v>66</v>
      </c>
      <c r="I191" s="2" t="s">
        <v>44</v>
      </c>
      <c r="J191" s="2" t="s">
        <v>786</v>
      </c>
      <c r="K191" s="2">
        <v>5</v>
      </c>
      <c r="L191" s="2" t="s">
        <v>87</v>
      </c>
      <c r="M191" s="2" t="s">
        <v>47</v>
      </c>
      <c r="N191" s="2">
        <v>2147.25</v>
      </c>
    </row>
    <row r="192" spans="1:14">
      <c r="A192" s="2" t="s">
        <v>787</v>
      </c>
      <c r="B192" s="2">
        <v>45535</v>
      </c>
      <c r="C192" s="2" t="s">
        <v>788</v>
      </c>
      <c r="D192" s="2" t="s">
        <v>9</v>
      </c>
      <c r="E192" s="2">
        <v>3</v>
      </c>
      <c r="F192" s="2">
        <v>223.7</v>
      </c>
      <c r="G192" s="2" t="s">
        <v>789</v>
      </c>
      <c r="H192" s="2" t="s">
        <v>71</v>
      </c>
      <c r="I192" s="2" t="s">
        <v>51</v>
      </c>
      <c r="J192" s="2" t="s">
        <v>790</v>
      </c>
      <c r="K192" s="2">
        <v>3</v>
      </c>
      <c r="L192" s="2" t="s">
        <v>32</v>
      </c>
      <c r="M192" s="2" t="s">
        <v>47</v>
      </c>
      <c r="N192" s="2">
        <v>671.1</v>
      </c>
    </row>
    <row r="193" spans="1:14">
      <c r="A193" s="2" t="s">
        <v>791</v>
      </c>
      <c r="B193" s="2">
        <v>45724</v>
      </c>
      <c r="C193" s="2" t="s">
        <v>792</v>
      </c>
      <c r="D193" s="2" t="s">
        <v>6</v>
      </c>
      <c r="E193" s="2">
        <v>2</v>
      </c>
      <c r="F193" s="2">
        <v>488.87</v>
      </c>
      <c r="G193" s="2" t="s">
        <v>793</v>
      </c>
      <c r="H193" s="2" t="s">
        <v>37</v>
      </c>
      <c r="I193" s="2" t="s">
        <v>44</v>
      </c>
      <c r="J193" s="2" t="s">
        <v>794</v>
      </c>
      <c r="K193" s="2">
        <v>4</v>
      </c>
      <c r="L193" s="2" t="s">
        <v>46</v>
      </c>
      <c r="M193" s="2" t="s">
        <v>82</v>
      </c>
      <c r="N193" s="2">
        <v>977.74</v>
      </c>
    </row>
    <row r="194" spans="1:14">
      <c r="A194" s="2" t="s">
        <v>795</v>
      </c>
      <c r="B194" s="2">
        <v>45149</v>
      </c>
      <c r="C194" s="2" t="s">
        <v>796</v>
      </c>
      <c r="D194" s="2" t="s">
        <v>5</v>
      </c>
      <c r="E194" s="2">
        <v>1</v>
      </c>
      <c r="F194" s="2">
        <v>645.46</v>
      </c>
      <c r="G194" s="2" t="s">
        <v>601</v>
      </c>
      <c r="H194" s="2" t="s">
        <v>66</v>
      </c>
      <c r="I194" s="2" t="s">
        <v>44</v>
      </c>
      <c r="J194" s="2" t="s">
        <v>797</v>
      </c>
      <c r="K194" s="2">
        <v>5</v>
      </c>
      <c r="L194" s="2" t="s">
        <v>32</v>
      </c>
      <c r="M194" s="2" t="s">
        <v>82</v>
      </c>
      <c r="N194" s="2">
        <v>645.46</v>
      </c>
    </row>
    <row r="195" spans="1:14">
      <c r="A195" s="2" t="s">
        <v>798</v>
      </c>
      <c r="B195" s="2">
        <v>45128</v>
      </c>
      <c r="C195" s="2" t="s">
        <v>799</v>
      </c>
      <c r="D195" s="2" t="s">
        <v>9</v>
      </c>
      <c r="E195" s="2">
        <v>1</v>
      </c>
      <c r="F195" s="2">
        <v>46.66</v>
      </c>
      <c r="G195" s="2" t="s">
        <v>800</v>
      </c>
      <c r="H195" s="2" t="s">
        <v>71</v>
      </c>
      <c r="I195" s="2" t="s">
        <v>44</v>
      </c>
      <c r="J195" s="2" t="s">
        <v>801</v>
      </c>
      <c r="K195" s="2">
        <v>6</v>
      </c>
      <c r="L195" s="2" t="s">
        <v>77</v>
      </c>
      <c r="M195" s="2" t="s">
        <v>82</v>
      </c>
      <c r="N195" s="2">
        <v>46.66</v>
      </c>
    </row>
    <row r="196" spans="1:14">
      <c r="A196" s="2" t="s">
        <v>802</v>
      </c>
      <c r="B196" s="2">
        <v>45451</v>
      </c>
      <c r="C196" s="2" t="s">
        <v>803</v>
      </c>
      <c r="D196" s="2" t="s">
        <v>7</v>
      </c>
      <c r="E196" s="2">
        <v>1</v>
      </c>
      <c r="F196" s="2">
        <v>249.57</v>
      </c>
      <c r="G196" s="2" t="s">
        <v>804</v>
      </c>
      <c r="H196" s="2" t="s">
        <v>71</v>
      </c>
      <c r="I196" s="2" t="s">
        <v>30</v>
      </c>
      <c r="J196" s="2" t="s">
        <v>805</v>
      </c>
      <c r="K196" s="2">
        <v>3</v>
      </c>
      <c r="L196" s="2" t="s">
        <v>46</v>
      </c>
      <c r="M196" s="2" t="s">
        <v>82</v>
      </c>
      <c r="N196" s="2">
        <v>249.57</v>
      </c>
    </row>
    <row r="197" spans="1:14">
      <c r="A197" s="2" t="s">
        <v>806</v>
      </c>
      <c r="B197" s="2">
        <v>45404</v>
      </c>
      <c r="C197" s="2" t="s">
        <v>807</v>
      </c>
      <c r="D197" s="2" t="s">
        <v>4</v>
      </c>
      <c r="E197" s="2">
        <v>3</v>
      </c>
      <c r="F197" s="2">
        <v>619.21</v>
      </c>
      <c r="G197" s="2" t="s">
        <v>808</v>
      </c>
      <c r="H197" s="2" t="s">
        <v>29</v>
      </c>
      <c r="I197" s="2" t="s">
        <v>44</v>
      </c>
      <c r="J197" s="2" t="s">
        <v>809</v>
      </c>
      <c r="K197" s="2">
        <v>6</v>
      </c>
      <c r="L197" s="2" t="s">
        <v>77</v>
      </c>
      <c r="M197" s="2" t="s">
        <v>47</v>
      </c>
      <c r="N197" s="2">
        <v>1857.63</v>
      </c>
    </row>
    <row r="198" spans="1:14">
      <c r="A198" s="2" t="s">
        <v>810</v>
      </c>
      <c r="B198" s="2">
        <v>45681</v>
      </c>
      <c r="C198" s="2" t="s">
        <v>811</v>
      </c>
      <c r="D198" s="2" t="s">
        <v>5</v>
      </c>
      <c r="E198" s="2">
        <v>4</v>
      </c>
      <c r="F198" s="2">
        <v>217.13</v>
      </c>
      <c r="G198" s="2" t="s">
        <v>812</v>
      </c>
      <c r="H198" s="2" t="s">
        <v>71</v>
      </c>
      <c r="I198" s="2" t="s">
        <v>57</v>
      </c>
      <c r="J198" s="2" t="s">
        <v>813</v>
      </c>
      <c r="K198" s="2">
        <v>8</v>
      </c>
      <c r="L198" s="2" t="s">
        <v>87</v>
      </c>
      <c r="M198" s="2" t="s">
        <v>47</v>
      </c>
      <c r="N198" s="2">
        <v>868.52</v>
      </c>
    </row>
    <row r="199" spans="1:14">
      <c r="A199" s="2" t="s">
        <v>814</v>
      </c>
      <c r="B199" s="2">
        <v>45165</v>
      </c>
      <c r="C199" s="2" t="s">
        <v>815</v>
      </c>
      <c r="D199" s="2" t="s">
        <v>6</v>
      </c>
      <c r="E199" s="2">
        <v>5</v>
      </c>
      <c r="F199" s="2">
        <v>221.51</v>
      </c>
      <c r="G199" s="2" t="s">
        <v>816</v>
      </c>
      <c r="H199" s="2" t="s">
        <v>71</v>
      </c>
      <c r="I199" s="2" t="s">
        <v>51</v>
      </c>
      <c r="J199" s="2" t="s">
        <v>817</v>
      </c>
      <c r="K199" s="2">
        <v>5</v>
      </c>
      <c r="L199" s="2" t="s">
        <v>87</v>
      </c>
      <c r="M199" s="2" t="s">
        <v>39</v>
      </c>
      <c r="N199" s="2">
        <v>1107.55</v>
      </c>
    </row>
    <row r="200" spans="1:14">
      <c r="A200" s="2" t="s">
        <v>818</v>
      </c>
      <c r="B200" s="2">
        <v>45454</v>
      </c>
      <c r="C200" s="2" t="s">
        <v>819</v>
      </c>
      <c r="D200" s="2" t="s">
        <v>6</v>
      </c>
      <c r="E200" s="2">
        <v>4</v>
      </c>
      <c r="F200" s="2">
        <v>340.3</v>
      </c>
      <c r="G200" s="2" t="s">
        <v>183</v>
      </c>
      <c r="H200" s="2" t="s">
        <v>71</v>
      </c>
      <c r="I200" s="2" t="s">
        <v>44</v>
      </c>
      <c r="J200" s="2" t="s">
        <v>820</v>
      </c>
      <c r="K200" s="2">
        <v>8</v>
      </c>
      <c r="L200" s="2" t="s">
        <v>32</v>
      </c>
      <c r="M200" s="2" t="s">
        <v>39</v>
      </c>
      <c r="N200" s="2">
        <v>1361.2</v>
      </c>
    </row>
    <row r="201" spans="1:14">
      <c r="A201" s="2" t="s">
        <v>821</v>
      </c>
      <c r="B201" s="2">
        <v>45680</v>
      </c>
      <c r="C201" s="2" t="s">
        <v>822</v>
      </c>
      <c r="D201" s="2" t="s">
        <v>8</v>
      </c>
      <c r="E201" s="2">
        <v>1</v>
      </c>
      <c r="F201" s="2">
        <v>625</v>
      </c>
      <c r="G201" s="2" t="s">
        <v>823</v>
      </c>
      <c r="H201" s="2" t="s">
        <v>37</v>
      </c>
      <c r="I201" s="2" t="s">
        <v>51</v>
      </c>
      <c r="J201" s="2" t="s">
        <v>824</v>
      </c>
      <c r="K201" s="2">
        <v>5</v>
      </c>
      <c r="L201" s="2" t="s">
        <v>87</v>
      </c>
      <c r="M201" s="2" t="s">
        <v>82</v>
      </c>
      <c r="N201" s="2">
        <v>625</v>
      </c>
    </row>
    <row r="202" spans="1:14">
      <c r="A202" s="2" t="s">
        <v>825</v>
      </c>
      <c r="B202" s="2">
        <v>45815</v>
      </c>
      <c r="C202" s="2" t="s">
        <v>826</v>
      </c>
      <c r="D202" s="2" t="s">
        <v>10</v>
      </c>
      <c r="E202" s="2">
        <v>5</v>
      </c>
      <c r="F202" s="2">
        <v>433.26</v>
      </c>
      <c r="G202" s="2" t="s">
        <v>167</v>
      </c>
      <c r="H202" s="2" t="s">
        <v>43</v>
      </c>
      <c r="I202" s="2" t="s">
        <v>57</v>
      </c>
      <c r="J202" s="2" t="s">
        <v>827</v>
      </c>
      <c r="K202" s="2">
        <v>9</v>
      </c>
      <c r="L202" s="2" t="s">
        <v>32</v>
      </c>
      <c r="M202" s="2" t="s">
        <v>82</v>
      </c>
      <c r="N202" s="2">
        <v>2166.3</v>
      </c>
    </row>
    <row r="203" spans="1:14">
      <c r="A203" s="2" t="s">
        <v>828</v>
      </c>
      <c r="B203" s="2">
        <v>45095</v>
      </c>
      <c r="C203" s="2" t="s">
        <v>829</v>
      </c>
      <c r="D203" s="2" t="s">
        <v>7</v>
      </c>
      <c r="E203" s="2">
        <v>2</v>
      </c>
      <c r="F203" s="2">
        <v>674.9</v>
      </c>
      <c r="G203" s="2" t="s">
        <v>353</v>
      </c>
      <c r="H203" s="2" t="s">
        <v>37</v>
      </c>
      <c r="I203" s="2" t="s">
        <v>30</v>
      </c>
      <c r="J203" s="2" t="s">
        <v>830</v>
      </c>
      <c r="K203" s="2">
        <v>4</v>
      </c>
      <c r="L203" s="2" t="s">
        <v>32</v>
      </c>
      <c r="M203" s="2" t="s">
        <v>53</v>
      </c>
      <c r="N203" s="2">
        <v>1349.8</v>
      </c>
    </row>
    <row r="204" spans="1:14">
      <c r="A204" s="2" t="s">
        <v>831</v>
      </c>
      <c r="B204" s="2">
        <v>45694</v>
      </c>
      <c r="C204" s="2" t="s">
        <v>832</v>
      </c>
      <c r="D204" s="2" t="s">
        <v>7</v>
      </c>
      <c r="E204" s="2">
        <v>3</v>
      </c>
      <c r="F204" s="2">
        <v>253.98</v>
      </c>
      <c r="G204" s="2" t="s">
        <v>571</v>
      </c>
      <c r="H204" s="2" t="s">
        <v>43</v>
      </c>
      <c r="I204" s="2" t="s">
        <v>44</v>
      </c>
      <c r="J204" s="2" t="s">
        <v>833</v>
      </c>
      <c r="K204" s="2">
        <v>3</v>
      </c>
      <c r="L204" s="2" t="s">
        <v>46</v>
      </c>
      <c r="M204" s="2" t="s">
        <v>47</v>
      </c>
      <c r="N204" s="2">
        <v>761.94</v>
      </c>
    </row>
    <row r="205" spans="1:14">
      <c r="A205" s="2" t="s">
        <v>834</v>
      </c>
      <c r="B205" s="2">
        <v>45678</v>
      </c>
      <c r="C205" s="2" t="s">
        <v>835</v>
      </c>
      <c r="D205" s="2" t="s">
        <v>9</v>
      </c>
      <c r="E205" s="2">
        <v>3</v>
      </c>
      <c r="F205" s="2">
        <v>356.84</v>
      </c>
      <c r="G205" s="2" t="s">
        <v>836</v>
      </c>
      <c r="H205" s="2" t="s">
        <v>37</v>
      </c>
      <c r="I205" s="2" t="s">
        <v>30</v>
      </c>
      <c r="J205" s="2" t="s">
        <v>837</v>
      </c>
      <c r="K205" s="2">
        <v>5</v>
      </c>
      <c r="L205" s="2" t="s">
        <v>32</v>
      </c>
      <c r="M205" s="2" t="s">
        <v>33</v>
      </c>
      <c r="N205" s="2">
        <v>1070.52</v>
      </c>
    </row>
    <row r="206" spans="1:14">
      <c r="A206" s="2" t="s">
        <v>838</v>
      </c>
      <c r="B206" s="2">
        <v>45174</v>
      </c>
      <c r="C206" s="2" t="s">
        <v>839</v>
      </c>
      <c r="D206" s="2" t="s">
        <v>6</v>
      </c>
      <c r="E206" s="2">
        <v>4</v>
      </c>
      <c r="F206" s="2">
        <v>413.71</v>
      </c>
      <c r="G206" s="2" t="s">
        <v>590</v>
      </c>
      <c r="H206" s="2" t="s">
        <v>66</v>
      </c>
      <c r="I206" s="2" t="s">
        <v>44</v>
      </c>
      <c r="J206" s="2" t="s">
        <v>840</v>
      </c>
      <c r="K206" s="2">
        <v>9</v>
      </c>
      <c r="L206" s="2" t="s">
        <v>46</v>
      </c>
      <c r="M206" s="2" t="s">
        <v>53</v>
      </c>
      <c r="N206" s="2">
        <v>1654.84</v>
      </c>
    </row>
    <row r="207" spans="1:14">
      <c r="A207" s="2" t="s">
        <v>841</v>
      </c>
      <c r="B207" s="2">
        <v>44989</v>
      </c>
      <c r="C207" s="2" t="s">
        <v>842</v>
      </c>
      <c r="D207" s="2" t="s">
        <v>5</v>
      </c>
      <c r="E207" s="2">
        <v>3</v>
      </c>
      <c r="F207" s="2">
        <v>147.39</v>
      </c>
      <c r="G207" s="2" t="s">
        <v>843</v>
      </c>
      <c r="H207" s="2" t="s">
        <v>29</v>
      </c>
      <c r="I207" s="2" t="s">
        <v>51</v>
      </c>
      <c r="J207" s="2" t="s">
        <v>844</v>
      </c>
      <c r="K207" s="2">
        <v>3</v>
      </c>
      <c r="L207" s="2" t="s">
        <v>77</v>
      </c>
      <c r="M207" s="2" t="s">
        <v>47</v>
      </c>
      <c r="N207" s="2">
        <v>442.17</v>
      </c>
    </row>
    <row r="208" spans="1:14">
      <c r="A208" s="2" t="s">
        <v>845</v>
      </c>
      <c r="B208" s="2">
        <v>45398</v>
      </c>
      <c r="C208" s="2" t="s">
        <v>846</v>
      </c>
      <c r="D208" s="2" t="s">
        <v>6</v>
      </c>
      <c r="E208" s="2">
        <v>4</v>
      </c>
      <c r="F208" s="2">
        <v>229.1</v>
      </c>
      <c r="G208" s="2" t="s">
        <v>847</v>
      </c>
      <c r="H208" s="2" t="s">
        <v>66</v>
      </c>
      <c r="I208" s="2" t="s">
        <v>51</v>
      </c>
      <c r="J208" s="2" t="s">
        <v>848</v>
      </c>
      <c r="K208" s="2">
        <v>8</v>
      </c>
      <c r="L208" s="2" t="s">
        <v>87</v>
      </c>
      <c r="M208" s="2" t="s">
        <v>47</v>
      </c>
      <c r="N208" s="2">
        <v>916.4</v>
      </c>
    </row>
    <row r="209" spans="1:14">
      <c r="A209" s="2" t="s">
        <v>849</v>
      </c>
      <c r="B209" s="2">
        <v>45734</v>
      </c>
      <c r="C209" s="2" t="s">
        <v>850</v>
      </c>
      <c r="D209" s="2" t="s">
        <v>8</v>
      </c>
      <c r="E209" s="2">
        <v>1</v>
      </c>
      <c r="F209" s="2">
        <v>121.96</v>
      </c>
      <c r="G209" s="2" t="s">
        <v>851</v>
      </c>
      <c r="H209" s="2" t="s">
        <v>29</v>
      </c>
      <c r="I209" s="2" t="s">
        <v>57</v>
      </c>
      <c r="J209" s="2" t="s">
        <v>852</v>
      </c>
      <c r="K209" s="2">
        <v>3</v>
      </c>
      <c r="L209" s="2" t="s">
        <v>77</v>
      </c>
      <c r="M209" s="2" t="s">
        <v>82</v>
      </c>
      <c r="N209" s="2">
        <v>121.96</v>
      </c>
    </row>
    <row r="210" spans="1:14">
      <c r="A210" s="2" t="s">
        <v>853</v>
      </c>
      <c r="B210" s="2">
        <v>45573</v>
      </c>
      <c r="C210" s="2" t="s">
        <v>854</v>
      </c>
      <c r="D210" s="2" t="s">
        <v>5</v>
      </c>
      <c r="E210" s="2">
        <v>2</v>
      </c>
      <c r="F210" s="2">
        <v>408.32</v>
      </c>
      <c r="G210" s="2" t="s">
        <v>785</v>
      </c>
      <c r="H210" s="2" t="s">
        <v>37</v>
      </c>
      <c r="I210" s="2" t="s">
        <v>30</v>
      </c>
      <c r="J210" s="2" t="s">
        <v>855</v>
      </c>
      <c r="K210" s="2">
        <v>3</v>
      </c>
      <c r="L210" s="2" t="s">
        <v>46</v>
      </c>
      <c r="M210" s="2" t="s">
        <v>53</v>
      </c>
      <c r="N210" s="2">
        <v>816.64</v>
      </c>
    </row>
    <row r="211" spans="1:14">
      <c r="A211" s="2" t="s">
        <v>856</v>
      </c>
      <c r="B211" s="2">
        <v>45167</v>
      </c>
      <c r="C211" s="2" t="s">
        <v>857</v>
      </c>
      <c r="D211" s="2" t="s">
        <v>10</v>
      </c>
      <c r="E211" s="2">
        <v>5</v>
      </c>
      <c r="F211" s="2">
        <v>187.97</v>
      </c>
      <c r="G211" s="2" t="s">
        <v>70</v>
      </c>
      <c r="H211" s="2" t="s">
        <v>71</v>
      </c>
      <c r="I211" s="2" t="s">
        <v>51</v>
      </c>
      <c r="J211" s="2" t="s">
        <v>858</v>
      </c>
      <c r="K211" s="2">
        <v>9</v>
      </c>
      <c r="L211" s="2" t="s">
        <v>32</v>
      </c>
      <c r="M211" s="2" t="s">
        <v>82</v>
      </c>
      <c r="N211" s="2">
        <v>939.85</v>
      </c>
    </row>
    <row r="212" spans="1:14">
      <c r="A212" s="2" t="s">
        <v>859</v>
      </c>
      <c r="B212" s="2">
        <v>45631</v>
      </c>
      <c r="C212" s="2" t="s">
        <v>860</v>
      </c>
      <c r="D212" s="2" t="s">
        <v>4</v>
      </c>
      <c r="E212" s="2">
        <v>3</v>
      </c>
      <c r="F212" s="2">
        <v>358.48</v>
      </c>
      <c r="G212" s="2" t="s">
        <v>559</v>
      </c>
      <c r="H212" s="2" t="s">
        <v>66</v>
      </c>
      <c r="I212" s="2" t="s">
        <v>57</v>
      </c>
      <c r="J212" s="2" t="s">
        <v>861</v>
      </c>
      <c r="K212" s="2">
        <v>7</v>
      </c>
      <c r="L212" s="2" t="s">
        <v>46</v>
      </c>
      <c r="M212" s="2" t="s">
        <v>53</v>
      </c>
      <c r="N212" s="2">
        <v>1075.44</v>
      </c>
    </row>
    <row r="213" spans="1:14">
      <c r="A213" s="2" t="s">
        <v>862</v>
      </c>
      <c r="B213" s="2">
        <v>45660</v>
      </c>
      <c r="C213" s="2" t="s">
        <v>863</v>
      </c>
      <c r="D213" s="2" t="s">
        <v>9</v>
      </c>
      <c r="E213" s="2">
        <v>3</v>
      </c>
      <c r="F213" s="2">
        <v>193.58</v>
      </c>
      <c r="G213" s="2" t="s">
        <v>864</v>
      </c>
      <c r="H213" s="2" t="s">
        <v>66</v>
      </c>
      <c r="I213" s="2" t="s">
        <v>95</v>
      </c>
      <c r="J213" s="2" t="s">
        <v>865</v>
      </c>
      <c r="K213" s="2">
        <v>7</v>
      </c>
      <c r="L213" s="2" t="s">
        <v>46</v>
      </c>
      <c r="M213" s="2" t="s">
        <v>47</v>
      </c>
      <c r="N213" s="2">
        <v>580.74</v>
      </c>
    </row>
    <row r="214" spans="1:14">
      <c r="A214" s="2" t="s">
        <v>866</v>
      </c>
      <c r="B214" s="2">
        <v>45097</v>
      </c>
      <c r="C214" s="2" t="s">
        <v>867</v>
      </c>
      <c r="D214" s="2" t="s">
        <v>7</v>
      </c>
      <c r="E214" s="2">
        <v>1</v>
      </c>
      <c r="F214" s="2">
        <v>265.38</v>
      </c>
      <c r="G214" s="2" t="s">
        <v>868</v>
      </c>
      <c r="H214" s="2" t="s">
        <v>43</v>
      </c>
      <c r="I214" s="2" t="s">
        <v>44</v>
      </c>
      <c r="J214" s="2" t="s">
        <v>869</v>
      </c>
      <c r="K214" s="2">
        <v>6</v>
      </c>
      <c r="L214" s="2" t="s">
        <v>87</v>
      </c>
      <c r="M214" s="2" t="s">
        <v>47</v>
      </c>
      <c r="N214" s="2">
        <v>265.38</v>
      </c>
    </row>
    <row r="215" spans="1:14">
      <c r="A215" s="2" t="s">
        <v>870</v>
      </c>
      <c r="B215" s="2">
        <v>45036</v>
      </c>
      <c r="C215" s="2" t="s">
        <v>871</v>
      </c>
      <c r="D215" s="2" t="s">
        <v>6</v>
      </c>
      <c r="E215" s="2">
        <v>1</v>
      </c>
      <c r="F215" s="2">
        <v>634.4</v>
      </c>
      <c r="G215" s="2" t="s">
        <v>872</v>
      </c>
      <c r="H215" s="2" t="s">
        <v>71</v>
      </c>
      <c r="I215" s="2" t="s">
        <v>44</v>
      </c>
      <c r="J215" s="2" t="s">
        <v>873</v>
      </c>
      <c r="K215" s="2">
        <v>6</v>
      </c>
      <c r="L215" s="2" t="s">
        <v>32</v>
      </c>
      <c r="M215" s="2" t="s">
        <v>47</v>
      </c>
      <c r="N215" s="2">
        <v>634.4</v>
      </c>
    </row>
    <row r="216" spans="1:14">
      <c r="A216" s="2" t="s">
        <v>874</v>
      </c>
      <c r="B216" s="2">
        <v>45525</v>
      </c>
      <c r="C216" s="2" t="s">
        <v>875</v>
      </c>
      <c r="D216" s="2" t="s">
        <v>5</v>
      </c>
      <c r="E216" s="2">
        <v>4</v>
      </c>
      <c r="F216" s="2">
        <v>305.72</v>
      </c>
      <c r="G216" s="2" t="s">
        <v>523</v>
      </c>
      <c r="H216" s="2" t="s">
        <v>37</v>
      </c>
      <c r="I216" s="2" t="s">
        <v>57</v>
      </c>
      <c r="J216" s="2" t="s">
        <v>876</v>
      </c>
      <c r="K216" s="2">
        <v>5</v>
      </c>
      <c r="L216" s="2" t="s">
        <v>77</v>
      </c>
      <c r="M216" s="2" t="s">
        <v>53</v>
      </c>
      <c r="N216" s="2">
        <v>1222.88</v>
      </c>
    </row>
    <row r="217" spans="1:14">
      <c r="A217" s="2" t="s">
        <v>877</v>
      </c>
      <c r="B217" s="2">
        <v>45148</v>
      </c>
      <c r="C217" s="2" t="s">
        <v>878</v>
      </c>
      <c r="D217" s="2" t="s">
        <v>9</v>
      </c>
      <c r="E217" s="2">
        <v>1</v>
      </c>
      <c r="F217" s="2">
        <v>303.6</v>
      </c>
      <c r="G217" s="2" t="s">
        <v>879</v>
      </c>
      <c r="H217" s="2" t="s">
        <v>71</v>
      </c>
      <c r="I217" s="2" t="s">
        <v>30</v>
      </c>
      <c r="J217" s="2" t="s">
        <v>880</v>
      </c>
      <c r="K217" s="2">
        <v>5</v>
      </c>
      <c r="L217" s="2" t="s">
        <v>46</v>
      </c>
      <c r="M217" s="2" t="s">
        <v>53</v>
      </c>
      <c r="N217" s="2">
        <v>303.6</v>
      </c>
    </row>
    <row r="218" spans="1:14">
      <c r="A218" s="2" t="s">
        <v>881</v>
      </c>
      <c r="B218" s="2">
        <v>45762</v>
      </c>
      <c r="C218" s="2" t="s">
        <v>882</v>
      </c>
      <c r="D218" s="2" t="s">
        <v>7</v>
      </c>
      <c r="E218" s="2">
        <v>4</v>
      </c>
      <c r="F218" s="2">
        <v>496</v>
      </c>
      <c r="G218" s="2" t="s">
        <v>279</v>
      </c>
      <c r="H218" s="2" t="s">
        <v>37</v>
      </c>
      <c r="I218" s="2" t="s">
        <v>44</v>
      </c>
      <c r="J218" s="2" t="s">
        <v>883</v>
      </c>
      <c r="K218" s="2">
        <v>8</v>
      </c>
      <c r="L218" s="2" t="s">
        <v>87</v>
      </c>
      <c r="M218" s="2" t="s">
        <v>82</v>
      </c>
      <c r="N218" s="2">
        <v>1984</v>
      </c>
    </row>
    <row r="219" spans="1:14">
      <c r="A219" s="2" t="s">
        <v>884</v>
      </c>
      <c r="B219" s="2">
        <v>45432</v>
      </c>
      <c r="C219" s="2" t="s">
        <v>885</v>
      </c>
      <c r="D219" s="2" t="s">
        <v>5</v>
      </c>
      <c r="E219" s="2">
        <v>4</v>
      </c>
      <c r="F219" s="2">
        <v>321.51</v>
      </c>
      <c r="G219" s="2" t="s">
        <v>886</v>
      </c>
      <c r="H219" s="2" t="s">
        <v>71</v>
      </c>
      <c r="I219" s="2" t="s">
        <v>51</v>
      </c>
      <c r="J219" s="2" t="s">
        <v>887</v>
      </c>
      <c r="K219" s="2">
        <v>9</v>
      </c>
      <c r="L219" s="2" t="s">
        <v>77</v>
      </c>
      <c r="M219" s="2" t="s">
        <v>82</v>
      </c>
      <c r="N219" s="2">
        <v>1286.04</v>
      </c>
    </row>
    <row r="220" spans="1:14">
      <c r="A220" s="2" t="s">
        <v>888</v>
      </c>
      <c r="B220" s="2">
        <v>45044</v>
      </c>
      <c r="C220" s="2" t="s">
        <v>889</v>
      </c>
      <c r="D220" s="2" t="s">
        <v>10</v>
      </c>
      <c r="E220" s="2">
        <v>3</v>
      </c>
      <c r="F220" s="2">
        <v>112.46</v>
      </c>
      <c r="G220" s="2" t="s">
        <v>890</v>
      </c>
      <c r="H220" s="2" t="s">
        <v>66</v>
      </c>
      <c r="I220" s="2" t="s">
        <v>30</v>
      </c>
      <c r="J220" s="2" t="s">
        <v>891</v>
      </c>
      <c r="K220" s="2">
        <v>6</v>
      </c>
      <c r="L220" s="2" t="s">
        <v>32</v>
      </c>
      <c r="M220" s="2" t="s">
        <v>33</v>
      </c>
      <c r="N220" s="2">
        <v>337.38</v>
      </c>
    </row>
    <row r="221" spans="1:14">
      <c r="A221" s="2" t="s">
        <v>892</v>
      </c>
      <c r="B221" s="2">
        <v>45779</v>
      </c>
      <c r="C221" s="2" t="s">
        <v>893</v>
      </c>
      <c r="D221" s="2" t="s">
        <v>6</v>
      </c>
      <c r="E221" s="2">
        <v>5</v>
      </c>
      <c r="F221" s="2">
        <v>61.97</v>
      </c>
      <c r="G221" s="2" t="s">
        <v>894</v>
      </c>
      <c r="H221" s="2" t="s">
        <v>71</v>
      </c>
      <c r="I221" s="2" t="s">
        <v>57</v>
      </c>
      <c r="J221" s="2" t="s">
        <v>895</v>
      </c>
      <c r="K221" s="2">
        <v>6</v>
      </c>
      <c r="L221" s="2" t="s">
        <v>32</v>
      </c>
      <c r="M221" s="2" t="s">
        <v>47</v>
      </c>
      <c r="N221" s="2">
        <v>309.85</v>
      </c>
    </row>
    <row r="222" spans="1:14">
      <c r="A222" s="2" t="s">
        <v>896</v>
      </c>
      <c r="B222" s="2">
        <v>45125</v>
      </c>
      <c r="C222" s="2" t="s">
        <v>897</v>
      </c>
      <c r="D222" s="2" t="s">
        <v>6</v>
      </c>
      <c r="E222" s="2">
        <v>2</v>
      </c>
      <c r="F222" s="2">
        <v>373.17</v>
      </c>
      <c r="G222" s="2" t="s">
        <v>898</v>
      </c>
      <c r="H222" s="2" t="s">
        <v>43</v>
      </c>
      <c r="I222" s="2" t="s">
        <v>95</v>
      </c>
      <c r="J222" s="2" t="s">
        <v>899</v>
      </c>
      <c r="K222" s="2">
        <v>6</v>
      </c>
      <c r="L222" s="2" t="s">
        <v>32</v>
      </c>
      <c r="M222" s="2" t="s">
        <v>39</v>
      </c>
      <c r="N222" s="2">
        <v>746.34</v>
      </c>
    </row>
    <row r="223" spans="1:14">
      <c r="A223" s="2" t="s">
        <v>900</v>
      </c>
      <c r="B223" s="2">
        <v>45345</v>
      </c>
      <c r="C223" s="2" t="s">
        <v>901</v>
      </c>
      <c r="D223" s="2" t="s">
        <v>10</v>
      </c>
      <c r="E223" s="2">
        <v>5</v>
      </c>
      <c r="F223" s="2">
        <v>639.37</v>
      </c>
      <c r="G223" s="2" t="s">
        <v>318</v>
      </c>
      <c r="H223" s="2" t="s">
        <v>29</v>
      </c>
      <c r="I223" s="2" t="s">
        <v>95</v>
      </c>
      <c r="J223" s="2" t="s">
        <v>902</v>
      </c>
      <c r="K223" s="2">
        <v>6</v>
      </c>
      <c r="L223" s="2" t="s">
        <v>32</v>
      </c>
      <c r="M223" s="2" t="s">
        <v>82</v>
      </c>
      <c r="N223" s="2">
        <v>3196.85</v>
      </c>
    </row>
    <row r="224" spans="1:14">
      <c r="A224" s="2" t="s">
        <v>903</v>
      </c>
      <c r="B224" s="2">
        <v>45050</v>
      </c>
      <c r="C224" s="2" t="s">
        <v>904</v>
      </c>
      <c r="D224" s="2" t="s">
        <v>4</v>
      </c>
      <c r="E224" s="2">
        <v>4</v>
      </c>
      <c r="F224" s="2">
        <v>693.36</v>
      </c>
      <c r="G224" s="2" t="s">
        <v>905</v>
      </c>
      <c r="H224" s="2" t="s">
        <v>37</v>
      </c>
      <c r="I224" s="2" t="s">
        <v>30</v>
      </c>
      <c r="J224" s="2" t="s">
        <v>906</v>
      </c>
      <c r="K224" s="2">
        <v>8</v>
      </c>
      <c r="L224" s="2" t="s">
        <v>77</v>
      </c>
      <c r="M224" s="2" t="s">
        <v>33</v>
      </c>
      <c r="N224" s="2">
        <v>2773.44</v>
      </c>
    </row>
    <row r="225" spans="1:14">
      <c r="A225" s="2" t="s">
        <v>907</v>
      </c>
      <c r="B225" s="2">
        <v>45546</v>
      </c>
      <c r="C225" s="2" t="s">
        <v>908</v>
      </c>
      <c r="D225" s="2" t="s">
        <v>8</v>
      </c>
      <c r="E225" s="2">
        <v>4</v>
      </c>
      <c r="F225" s="2">
        <v>692.91</v>
      </c>
      <c r="G225" s="2" t="s">
        <v>523</v>
      </c>
      <c r="H225" s="2" t="s">
        <v>43</v>
      </c>
      <c r="I225" s="2" t="s">
        <v>95</v>
      </c>
      <c r="J225" s="2" t="s">
        <v>909</v>
      </c>
      <c r="K225" s="2">
        <v>9</v>
      </c>
      <c r="L225" s="2" t="s">
        <v>32</v>
      </c>
      <c r="M225" s="2" t="s">
        <v>33</v>
      </c>
      <c r="N225" s="2">
        <v>2771.64</v>
      </c>
    </row>
    <row r="226" spans="1:14">
      <c r="A226" s="2" t="s">
        <v>910</v>
      </c>
      <c r="B226" s="2">
        <v>45192</v>
      </c>
      <c r="C226" s="2" t="s">
        <v>911</v>
      </c>
      <c r="D226" s="2" t="s">
        <v>9</v>
      </c>
      <c r="E226" s="2">
        <v>4</v>
      </c>
      <c r="F226" s="2">
        <v>91.46</v>
      </c>
      <c r="G226" s="2" t="s">
        <v>912</v>
      </c>
      <c r="H226" s="2" t="s">
        <v>71</v>
      </c>
      <c r="I226" s="2" t="s">
        <v>44</v>
      </c>
      <c r="J226" s="2" t="s">
        <v>913</v>
      </c>
      <c r="K226" s="2">
        <v>9</v>
      </c>
      <c r="L226" s="2" t="s">
        <v>32</v>
      </c>
      <c r="M226" s="2" t="s">
        <v>39</v>
      </c>
      <c r="N226" s="2">
        <v>365.84</v>
      </c>
    </row>
    <row r="227" spans="1:14">
      <c r="A227" s="2" t="s">
        <v>914</v>
      </c>
      <c r="B227" s="2">
        <v>45364</v>
      </c>
      <c r="C227" s="2" t="s">
        <v>915</v>
      </c>
      <c r="D227" s="2" t="s">
        <v>8</v>
      </c>
      <c r="E227" s="2">
        <v>3</v>
      </c>
      <c r="F227" s="2">
        <v>273.96</v>
      </c>
      <c r="G227" s="2" t="s">
        <v>916</v>
      </c>
      <c r="H227" s="2" t="s">
        <v>29</v>
      </c>
      <c r="I227" s="2" t="s">
        <v>51</v>
      </c>
      <c r="J227" s="2" t="s">
        <v>917</v>
      </c>
      <c r="K227" s="2">
        <v>8</v>
      </c>
      <c r="L227" s="2" t="s">
        <v>32</v>
      </c>
      <c r="M227" s="2" t="s">
        <v>82</v>
      </c>
      <c r="N227" s="2">
        <v>821.88</v>
      </c>
    </row>
    <row r="228" spans="1:14">
      <c r="A228" s="2" t="s">
        <v>918</v>
      </c>
      <c r="B228" s="2">
        <v>45835</v>
      </c>
      <c r="C228" s="2" t="s">
        <v>919</v>
      </c>
      <c r="D228" s="2" t="s">
        <v>5</v>
      </c>
      <c r="E228" s="2">
        <v>3</v>
      </c>
      <c r="F228" s="2">
        <v>588.05</v>
      </c>
      <c r="G228" s="2" t="s">
        <v>920</v>
      </c>
      <c r="H228" s="2" t="s">
        <v>66</v>
      </c>
      <c r="I228" s="2" t="s">
        <v>57</v>
      </c>
      <c r="J228" s="2" t="s">
        <v>921</v>
      </c>
      <c r="K228" s="2">
        <v>8</v>
      </c>
      <c r="L228" s="2" t="s">
        <v>77</v>
      </c>
      <c r="M228" s="2" t="s">
        <v>33</v>
      </c>
      <c r="N228" s="2">
        <v>1764.15</v>
      </c>
    </row>
    <row r="229" spans="1:14">
      <c r="A229" s="2" t="s">
        <v>922</v>
      </c>
      <c r="B229" s="2">
        <v>45232</v>
      </c>
      <c r="C229" s="2" t="s">
        <v>923</v>
      </c>
      <c r="D229" s="2" t="s">
        <v>7</v>
      </c>
      <c r="E229" s="2">
        <v>2</v>
      </c>
      <c r="F229" s="2">
        <v>365.17</v>
      </c>
      <c r="G229" s="2" t="s">
        <v>543</v>
      </c>
      <c r="H229" s="2" t="s">
        <v>37</v>
      </c>
      <c r="I229" s="2" t="s">
        <v>44</v>
      </c>
      <c r="J229" s="2" t="s">
        <v>924</v>
      </c>
      <c r="K229" s="2">
        <v>4</v>
      </c>
      <c r="L229" s="2" t="s">
        <v>46</v>
      </c>
      <c r="M229" s="2" t="s">
        <v>53</v>
      </c>
      <c r="N229" s="2">
        <v>730.34</v>
      </c>
    </row>
    <row r="230" spans="1:14">
      <c r="A230" s="2" t="s">
        <v>925</v>
      </c>
      <c r="B230" s="2">
        <v>45063</v>
      </c>
      <c r="C230" s="2" t="s">
        <v>926</v>
      </c>
      <c r="D230" s="2" t="s">
        <v>4</v>
      </c>
      <c r="E230" s="2">
        <v>4</v>
      </c>
      <c r="F230" s="2">
        <v>385.92</v>
      </c>
      <c r="G230" s="2" t="s">
        <v>927</v>
      </c>
      <c r="H230" s="2" t="s">
        <v>43</v>
      </c>
      <c r="I230" s="2" t="s">
        <v>44</v>
      </c>
      <c r="J230" s="2" t="s">
        <v>928</v>
      </c>
      <c r="K230" s="2">
        <v>8</v>
      </c>
      <c r="L230" s="2" t="s">
        <v>77</v>
      </c>
      <c r="M230" s="2" t="s">
        <v>33</v>
      </c>
      <c r="N230" s="2">
        <v>1543.68</v>
      </c>
    </row>
    <row r="231" spans="1:14">
      <c r="A231" s="2" t="s">
        <v>929</v>
      </c>
      <c r="B231" s="2">
        <v>45744</v>
      </c>
      <c r="C231" s="2" t="s">
        <v>930</v>
      </c>
      <c r="D231" s="2" t="s">
        <v>10</v>
      </c>
      <c r="E231" s="2">
        <v>1</v>
      </c>
      <c r="F231" s="2">
        <v>562.61</v>
      </c>
      <c r="G231" s="2" t="s">
        <v>931</v>
      </c>
      <c r="H231" s="2" t="s">
        <v>43</v>
      </c>
      <c r="I231" s="2" t="s">
        <v>57</v>
      </c>
      <c r="J231" s="2" t="s">
        <v>932</v>
      </c>
      <c r="K231" s="2">
        <v>3</v>
      </c>
      <c r="L231" s="2" t="s">
        <v>87</v>
      </c>
      <c r="M231" s="2" t="s">
        <v>53</v>
      </c>
      <c r="N231" s="2">
        <v>562.61</v>
      </c>
    </row>
    <row r="232" spans="1:14">
      <c r="A232" s="2" t="s">
        <v>933</v>
      </c>
      <c r="B232" s="2">
        <v>45276</v>
      </c>
      <c r="C232" s="2" t="s">
        <v>934</v>
      </c>
      <c r="D232" s="2" t="s">
        <v>5</v>
      </c>
      <c r="E232" s="2">
        <v>4</v>
      </c>
      <c r="F232" s="2">
        <v>61.91</v>
      </c>
      <c r="G232" s="2" t="s">
        <v>935</v>
      </c>
      <c r="H232" s="2" t="s">
        <v>66</v>
      </c>
      <c r="I232" s="2" t="s">
        <v>57</v>
      </c>
      <c r="J232" s="2" t="s">
        <v>936</v>
      </c>
      <c r="K232" s="2">
        <v>6</v>
      </c>
      <c r="L232" s="2" t="s">
        <v>87</v>
      </c>
      <c r="M232" s="2" t="s">
        <v>47</v>
      </c>
      <c r="N232" s="2">
        <v>247.64</v>
      </c>
    </row>
    <row r="233" spans="1:14">
      <c r="A233" s="2" t="s">
        <v>937</v>
      </c>
      <c r="B233" s="2">
        <v>45235</v>
      </c>
      <c r="C233" s="2" t="s">
        <v>938</v>
      </c>
      <c r="D233" s="2" t="s">
        <v>8</v>
      </c>
      <c r="E233" s="2">
        <v>4</v>
      </c>
      <c r="F233" s="2">
        <v>41.9</v>
      </c>
      <c r="G233" s="2" t="s">
        <v>939</v>
      </c>
      <c r="H233" s="2" t="s">
        <v>66</v>
      </c>
      <c r="I233" s="2" t="s">
        <v>95</v>
      </c>
      <c r="J233" s="2" t="s">
        <v>940</v>
      </c>
      <c r="K233" s="2">
        <v>9</v>
      </c>
      <c r="L233" s="2" t="s">
        <v>46</v>
      </c>
      <c r="M233" s="2" t="s">
        <v>33</v>
      </c>
      <c r="N233" s="2">
        <v>167.6</v>
      </c>
    </row>
    <row r="234" spans="1:14">
      <c r="A234" s="2" t="s">
        <v>941</v>
      </c>
      <c r="B234" s="2">
        <v>45065</v>
      </c>
      <c r="C234" s="2" t="s">
        <v>942</v>
      </c>
      <c r="D234" s="2" t="s">
        <v>9</v>
      </c>
      <c r="E234" s="2">
        <v>4</v>
      </c>
      <c r="F234" s="2">
        <v>444.44</v>
      </c>
      <c r="G234" s="2" t="s">
        <v>943</v>
      </c>
      <c r="H234" s="2" t="s">
        <v>29</v>
      </c>
      <c r="I234" s="2" t="s">
        <v>44</v>
      </c>
      <c r="J234" s="2" t="s">
        <v>944</v>
      </c>
      <c r="K234" s="2">
        <v>8</v>
      </c>
      <c r="L234" s="2" t="s">
        <v>87</v>
      </c>
      <c r="M234" s="2" t="s">
        <v>82</v>
      </c>
      <c r="N234" s="2">
        <v>1777.76</v>
      </c>
    </row>
    <row r="235" spans="1:14">
      <c r="A235" s="2" t="s">
        <v>945</v>
      </c>
      <c r="B235" s="2">
        <v>45528</v>
      </c>
      <c r="C235" s="2" t="s">
        <v>946</v>
      </c>
      <c r="D235" s="2" t="s">
        <v>8</v>
      </c>
      <c r="E235" s="2">
        <v>3</v>
      </c>
      <c r="F235" s="2">
        <v>311.33</v>
      </c>
      <c r="G235" s="2" t="s">
        <v>353</v>
      </c>
      <c r="H235" s="2" t="s">
        <v>71</v>
      </c>
      <c r="I235" s="2" t="s">
        <v>44</v>
      </c>
      <c r="J235" s="2" t="s">
        <v>947</v>
      </c>
      <c r="K235" s="2">
        <v>3</v>
      </c>
      <c r="L235" s="2" t="s">
        <v>87</v>
      </c>
      <c r="M235" s="2" t="s">
        <v>33</v>
      </c>
      <c r="N235" s="2">
        <v>933.99</v>
      </c>
    </row>
    <row r="236" spans="1:14">
      <c r="A236" s="2" t="s">
        <v>948</v>
      </c>
      <c r="B236" s="2">
        <v>45622</v>
      </c>
      <c r="C236" s="2" t="s">
        <v>949</v>
      </c>
      <c r="D236" s="2" t="s">
        <v>9</v>
      </c>
      <c r="E236" s="2">
        <v>4</v>
      </c>
      <c r="F236" s="2">
        <v>236.41</v>
      </c>
      <c r="G236" s="2" t="s">
        <v>950</v>
      </c>
      <c r="H236" s="2" t="s">
        <v>29</v>
      </c>
      <c r="I236" s="2" t="s">
        <v>95</v>
      </c>
      <c r="J236" s="2" t="s">
        <v>951</v>
      </c>
      <c r="K236" s="2">
        <v>7</v>
      </c>
      <c r="L236" s="2" t="s">
        <v>32</v>
      </c>
      <c r="M236" s="2" t="s">
        <v>82</v>
      </c>
      <c r="N236" s="2">
        <v>945.64</v>
      </c>
    </row>
    <row r="237" spans="1:14">
      <c r="A237" s="2" t="s">
        <v>952</v>
      </c>
      <c r="B237" s="2">
        <v>44977</v>
      </c>
      <c r="C237" s="2" t="s">
        <v>953</v>
      </c>
      <c r="D237" s="2" t="s">
        <v>5</v>
      </c>
      <c r="E237" s="2">
        <v>1</v>
      </c>
      <c r="F237" s="2">
        <v>65.45</v>
      </c>
      <c r="G237" s="2" t="s">
        <v>954</v>
      </c>
      <c r="H237" s="2" t="s">
        <v>71</v>
      </c>
      <c r="I237" s="2" t="s">
        <v>95</v>
      </c>
      <c r="J237" s="2" t="s">
        <v>955</v>
      </c>
      <c r="K237" s="2">
        <v>2</v>
      </c>
      <c r="L237" s="2" t="s">
        <v>87</v>
      </c>
      <c r="M237" s="2" t="s">
        <v>82</v>
      </c>
      <c r="N237" s="2">
        <v>65.45</v>
      </c>
    </row>
    <row r="238" spans="1:14">
      <c r="A238" s="2" t="s">
        <v>956</v>
      </c>
      <c r="B238" s="2">
        <v>44927</v>
      </c>
      <c r="C238" s="2" t="s">
        <v>957</v>
      </c>
      <c r="D238" s="2" t="s">
        <v>7</v>
      </c>
      <c r="E238" s="2">
        <v>1</v>
      </c>
      <c r="F238" s="2">
        <v>318.81</v>
      </c>
      <c r="G238" s="2" t="s">
        <v>958</v>
      </c>
      <c r="H238" s="2" t="s">
        <v>29</v>
      </c>
      <c r="I238" s="2" t="s">
        <v>95</v>
      </c>
      <c r="J238" s="2" t="s">
        <v>959</v>
      </c>
      <c r="K238" s="2">
        <v>3</v>
      </c>
      <c r="L238" s="2" t="s">
        <v>87</v>
      </c>
      <c r="M238" s="2" t="s">
        <v>47</v>
      </c>
      <c r="N238" s="2">
        <v>318.81</v>
      </c>
    </row>
    <row r="239" spans="1:14">
      <c r="A239" s="2" t="s">
        <v>960</v>
      </c>
      <c r="B239" s="2">
        <v>45365</v>
      </c>
      <c r="C239" s="2" t="s">
        <v>961</v>
      </c>
      <c r="D239" s="2" t="s">
        <v>7</v>
      </c>
      <c r="E239" s="2">
        <v>3</v>
      </c>
      <c r="F239" s="2">
        <v>583.72</v>
      </c>
      <c r="G239" s="2" t="s">
        <v>962</v>
      </c>
      <c r="H239" s="2" t="s">
        <v>43</v>
      </c>
      <c r="I239" s="2" t="s">
        <v>30</v>
      </c>
      <c r="J239" s="2" t="s">
        <v>963</v>
      </c>
      <c r="K239" s="2">
        <v>5</v>
      </c>
      <c r="L239" s="2" t="s">
        <v>46</v>
      </c>
      <c r="M239" s="2" t="s">
        <v>53</v>
      </c>
      <c r="N239" s="2">
        <v>1751.16</v>
      </c>
    </row>
    <row r="240" spans="1:14">
      <c r="A240" s="2" t="s">
        <v>964</v>
      </c>
      <c r="B240" s="2">
        <v>45639</v>
      </c>
      <c r="C240" s="2" t="s">
        <v>965</v>
      </c>
      <c r="D240" s="2" t="s">
        <v>5</v>
      </c>
      <c r="E240" s="2">
        <v>4</v>
      </c>
      <c r="F240" s="2">
        <v>384.32</v>
      </c>
      <c r="G240" s="2" t="s">
        <v>966</v>
      </c>
      <c r="H240" s="2" t="s">
        <v>43</v>
      </c>
      <c r="I240" s="2" t="s">
        <v>95</v>
      </c>
      <c r="J240" s="2" t="s">
        <v>967</v>
      </c>
      <c r="K240" s="2">
        <v>6</v>
      </c>
      <c r="L240" s="2" t="s">
        <v>87</v>
      </c>
      <c r="M240" s="2" t="s">
        <v>82</v>
      </c>
      <c r="N240" s="2">
        <v>1537.28</v>
      </c>
    </row>
    <row r="241" spans="1:14">
      <c r="A241" s="2" t="s">
        <v>968</v>
      </c>
      <c r="B241" s="2">
        <v>45637</v>
      </c>
      <c r="C241" s="2" t="s">
        <v>969</v>
      </c>
      <c r="D241" s="2" t="s">
        <v>10</v>
      </c>
      <c r="E241" s="2">
        <v>3</v>
      </c>
      <c r="F241" s="2">
        <v>538.74</v>
      </c>
      <c r="G241" s="2" t="s">
        <v>970</v>
      </c>
      <c r="H241" s="2" t="s">
        <v>37</v>
      </c>
      <c r="I241" s="2" t="s">
        <v>30</v>
      </c>
      <c r="J241" s="2" t="s">
        <v>971</v>
      </c>
      <c r="K241" s="2">
        <v>6</v>
      </c>
      <c r="L241" s="2" t="s">
        <v>46</v>
      </c>
      <c r="M241" s="2" t="s">
        <v>47</v>
      </c>
      <c r="N241" s="2">
        <v>1616.22</v>
      </c>
    </row>
    <row r="242" spans="1:14">
      <c r="A242" s="2" t="s">
        <v>972</v>
      </c>
      <c r="B242" s="2">
        <v>45119</v>
      </c>
      <c r="C242" s="2" t="s">
        <v>973</v>
      </c>
      <c r="D242" s="2" t="s">
        <v>10</v>
      </c>
      <c r="E242" s="2">
        <v>1</v>
      </c>
      <c r="F242" s="2">
        <v>17.24</v>
      </c>
      <c r="G242" s="2" t="s">
        <v>974</v>
      </c>
      <c r="H242" s="2" t="s">
        <v>37</v>
      </c>
      <c r="I242" s="2" t="s">
        <v>95</v>
      </c>
      <c r="J242" s="2" t="s">
        <v>975</v>
      </c>
      <c r="K242" s="2">
        <v>2</v>
      </c>
      <c r="L242" s="2" t="s">
        <v>46</v>
      </c>
      <c r="M242" s="2" t="s">
        <v>33</v>
      </c>
      <c r="N242" s="2">
        <v>17.24</v>
      </c>
    </row>
    <row r="243" spans="1:14">
      <c r="A243" s="2" t="s">
        <v>976</v>
      </c>
      <c r="B243" s="2">
        <v>45062</v>
      </c>
      <c r="C243" s="2" t="s">
        <v>977</v>
      </c>
      <c r="D243" s="2" t="s">
        <v>4</v>
      </c>
      <c r="E243" s="2">
        <v>5</v>
      </c>
      <c r="F243" s="2">
        <v>615.67</v>
      </c>
      <c r="G243" s="2" t="s">
        <v>978</v>
      </c>
      <c r="H243" s="2" t="s">
        <v>37</v>
      </c>
      <c r="I243" s="2" t="s">
        <v>95</v>
      </c>
      <c r="J243" s="2" t="s">
        <v>979</v>
      </c>
      <c r="K243" s="2">
        <v>6</v>
      </c>
      <c r="L243" s="2" t="s">
        <v>32</v>
      </c>
      <c r="M243" s="2" t="s">
        <v>47</v>
      </c>
      <c r="N243" s="2">
        <v>3078.35</v>
      </c>
    </row>
    <row r="244" spans="1:14">
      <c r="A244" s="2" t="s">
        <v>980</v>
      </c>
      <c r="B244" s="2">
        <v>45055</v>
      </c>
      <c r="C244" s="2" t="s">
        <v>981</v>
      </c>
      <c r="D244" s="2" t="s">
        <v>9</v>
      </c>
      <c r="E244" s="2">
        <v>2</v>
      </c>
      <c r="F244" s="2">
        <v>219.1</v>
      </c>
      <c r="G244" s="2" t="s">
        <v>982</v>
      </c>
      <c r="H244" s="2" t="s">
        <v>37</v>
      </c>
      <c r="I244" s="2" t="s">
        <v>95</v>
      </c>
      <c r="J244" s="2" t="s">
        <v>983</v>
      </c>
      <c r="K244" s="2">
        <v>4</v>
      </c>
      <c r="L244" s="2" t="s">
        <v>32</v>
      </c>
      <c r="M244" s="2" t="s">
        <v>39</v>
      </c>
      <c r="N244" s="2">
        <v>438.2</v>
      </c>
    </row>
    <row r="245" spans="1:14">
      <c r="A245" s="2" t="s">
        <v>984</v>
      </c>
      <c r="B245" s="2">
        <v>45786</v>
      </c>
      <c r="C245" s="2" t="s">
        <v>985</v>
      </c>
      <c r="D245" s="2" t="s">
        <v>4</v>
      </c>
      <c r="E245" s="2">
        <v>2</v>
      </c>
      <c r="F245" s="2">
        <v>144.66</v>
      </c>
      <c r="G245" s="2" t="s">
        <v>986</v>
      </c>
      <c r="H245" s="2" t="s">
        <v>37</v>
      </c>
      <c r="I245" s="2" t="s">
        <v>44</v>
      </c>
      <c r="J245" s="2" t="s">
        <v>987</v>
      </c>
      <c r="K245" s="2">
        <v>7</v>
      </c>
      <c r="L245" s="2" t="s">
        <v>46</v>
      </c>
      <c r="M245" s="2" t="s">
        <v>82</v>
      </c>
      <c r="N245" s="2">
        <v>289.32</v>
      </c>
    </row>
    <row r="246" spans="1:14">
      <c r="A246" s="2" t="s">
        <v>988</v>
      </c>
      <c r="B246" s="2">
        <v>44973</v>
      </c>
      <c r="C246" s="2" t="s">
        <v>989</v>
      </c>
      <c r="D246" s="2" t="s">
        <v>5</v>
      </c>
      <c r="E246" s="2">
        <v>2</v>
      </c>
      <c r="F246" s="2">
        <v>317.77</v>
      </c>
      <c r="G246" s="2" t="s">
        <v>990</v>
      </c>
      <c r="H246" s="2" t="s">
        <v>29</v>
      </c>
      <c r="I246" s="2" t="s">
        <v>44</v>
      </c>
      <c r="J246" s="2" t="s">
        <v>991</v>
      </c>
      <c r="K246" s="2">
        <v>4</v>
      </c>
      <c r="L246" s="2" t="s">
        <v>87</v>
      </c>
      <c r="M246" s="2" t="s">
        <v>53</v>
      </c>
      <c r="N246" s="2">
        <v>635.54</v>
      </c>
    </row>
    <row r="247" spans="1:14">
      <c r="A247" s="2" t="s">
        <v>992</v>
      </c>
      <c r="B247" s="2">
        <v>45767</v>
      </c>
      <c r="C247" s="2" t="s">
        <v>993</v>
      </c>
      <c r="D247" s="2" t="s">
        <v>6</v>
      </c>
      <c r="E247" s="2">
        <v>1</v>
      </c>
      <c r="F247" s="2">
        <v>223.3</v>
      </c>
      <c r="G247" s="2" t="s">
        <v>994</v>
      </c>
      <c r="H247" s="2" t="s">
        <v>37</v>
      </c>
      <c r="I247" s="2" t="s">
        <v>51</v>
      </c>
      <c r="J247" s="2" t="s">
        <v>995</v>
      </c>
      <c r="K247" s="2">
        <v>1</v>
      </c>
      <c r="L247" s="2" t="s">
        <v>77</v>
      </c>
      <c r="M247" s="2" t="s">
        <v>53</v>
      </c>
      <c r="N247" s="2">
        <v>223.3</v>
      </c>
    </row>
    <row r="248" spans="1:14">
      <c r="A248" s="2" t="s">
        <v>996</v>
      </c>
      <c r="B248" s="2">
        <v>45534</v>
      </c>
      <c r="C248" s="2" t="s">
        <v>997</v>
      </c>
      <c r="D248" s="2" t="s">
        <v>5</v>
      </c>
      <c r="E248" s="2">
        <v>2</v>
      </c>
      <c r="F248" s="2">
        <v>342.11</v>
      </c>
      <c r="G248" s="2" t="s">
        <v>998</v>
      </c>
      <c r="H248" s="2" t="s">
        <v>66</v>
      </c>
      <c r="I248" s="2" t="s">
        <v>30</v>
      </c>
      <c r="J248" s="2" t="s">
        <v>999</v>
      </c>
      <c r="K248" s="2">
        <v>2</v>
      </c>
      <c r="L248" s="2" t="s">
        <v>87</v>
      </c>
      <c r="M248" s="2" t="s">
        <v>33</v>
      </c>
      <c r="N248" s="2">
        <v>684.22</v>
      </c>
    </row>
    <row r="249" spans="1:14">
      <c r="A249" s="2" t="s">
        <v>1000</v>
      </c>
      <c r="B249" s="2">
        <v>45127</v>
      </c>
      <c r="C249" s="2" t="s">
        <v>1001</v>
      </c>
      <c r="D249" s="2" t="s">
        <v>9</v>
      </c>
      <c r="E249" s="2">
        <v>2</v>
      </c>
      <c r="F249" s="2">
        <v>220.9</v>
      </c>
      <c r="G249" s="2" t="s">
        <v>1002</v>
      </c>
      <c r="H249" s="2" t="s">
        <v>66</v>
      </c>
      <c r="I249" s="2" t="s">
        <v>30</v>
      </c>
      <c r="J249" s="2" t="s">
        <v>1003</v>
      </c>
      <c r="K249" s="2">
        <v>4</v>
      </c>
      <c r="L249" s="2" t="s">
        <v>77</v>
      </c>
      <c r="M249" s="2" t="s">
        <v>47</v>
      </c>
      <c r="N249" s="2">
        <v>441.8</v>
      </c>
    </row>
    <row r="250" spans="1:14">
      <c r="A250" s="2" t="s">
        <v>1004</v>
      </c>
      <c r="B250" s="2">
        <v>45109</v>
      </c>
      <c r="C250" s="2" t="s">
        <v>1005</v>
      </c>
      <c r="D250" s="2" t="s">
        <v>6</v>
      </c>
      <c r="E250" s="2">
        <v>1</v>
      </c>
      <c r="F250" s="2">
        <v>670.54</v>
      </c>
      <c r="G250" s="2" t="s">
        <v>1006</v>
      </c>
      <c r="H250" s="2" t="s">
        <v>71</v>
      </c>
      <c r="I250" s="2" t="s">
        <v>30</v>
      </c>
      <c r="J250" s="2" t="s">
        <v>1007</v>
      </c>
      <c r="K250" s="2">
        <v>6</v>
      </c>
      <c r="L250" s="2" t="s">
        <v>46</v>
      </c>
      <c r="M250" s="2" t="s">
        <v>39</v>
      </c>
      <c r="N250" s="2">
        <v>670.54</v>
      </c>
    </row>
    <row r="251" spans="1:14">
      <c r="A251" s="2" t="s">
        <v>1008</v>
      </c>
      <c r="B251" s="2">
        <v>45329</v>
      </c>
      <c r="C251" s="2" t="s">
        <v>1009</v>
      </c>
      <c r="D251" s="2" t="s">
        <v>9</v>
      </c>
      <c r="E251" s="2">
        <v>1</v>
      </c>
      <c r="F251" s="2">
        <v>546.19</v>
      </c>
      <c r="G251" s="2" t="s">
        <v>1010</v>
      </c>
      <c r="H251" s="2" t="s">
        <v>71</v>
      </c>
      <c r="I251" s="2" t="s">
        <v>95</v>
      </c>
      <c r="J251" s="2" t="s">
        <v>1011</v>
      </c>
      <c r="K251" s="2">
        <v>5</v>
      </c>
      <c r="L251" s="2" t="s">
        <v>46</v>
      </c>
      <c r="M251" s="2" t="s">
        <v>39</v>
      </c>
      <c r="N251" s="2">
        <v>546.19</v>
      </c>
    </row>
    <row r="252" spans="1:14">
      <c r="A252" s="2" t="s">
        <v>1012</v>
      </c>
      <c r="B252" s="2">
        <v>45021</v>
      </c>
      <c r="C252" s="2" t="s">
        <v>1013</v>
      </c>
      <c r="D252" s="2" t="s">
        <v>5</v>
      </c>
      <c r="E252" s="2">
        <v>3</v>
      </c>
      <c r="F252" s="2">
        <v>42.95</v>
      </c>
      <c r="G252" s="2" t="s">
        <v>393</v>
      </c>
      <c r="H252" s="2" t="s">
        <v>66</v>
      </c>
      <c r="I252" s="2" t="s">
        <v>51</v>
      </c>
      <c r="J252" s="2" t="s">
        <v>1014</v>
      </c>
      <c r="K252" s="2">
        <v>8</v>
      </c>
      <c r="L252" s="2" t="s">
        <v>32</v>
      </c>
      <c r="M252" s="2" t="s">
        <v>47</v>
      </c>
      <c r="N252" s="2">
        <v>128.85</v>
      </c>
    </row>
    <row r="253" spans="1:14">
      <c r="A253" s="2" t="s">
        <v>1015</v>
      </c>
      <c r="B253" s="2">
        <v>45792</v>
      </c>
      <c r="C253" s="2" t="s">
        <v>1016</v>
      </c>
      <c r="D253" s="2" t="s">
        <v>7</v>
      </c>
      <c r="E253" s="2">
        <v>4</v>
      </c>
      <c r="F253" s="2">
        <v>14.69</v>
      </c>
      <c r="G253" s="2" t="s">
        <v>1017</v>
      </c>
      <c r="H253" s="2" t="s">
        <v>71</v>
      </c>
      <c r="I253" s="2" t="s">
        <v>44</v>
      </c>
      <c r="J253" s="2" t="s">
        <v>1018</v>
      </c>
      <c r="K253" s="2">
        <v>9</v>
      </c>
      <c r="L253" s="2" t="s">
        <v>77</v>
      </c>
      <c r="M253" s="2" t="s">
        <v>47</v>
      </c>
      <c r="N253" s="2">
        <v>58.76</v>
      </c>
    </row>
    <row r="254" spans="1:14">
      <c r="A254" s="2" t="s">
        <v>1019</v>
      </c>
      <c r="B254" s="2">
        <v>45555</v>
      </c>
      <c r="C254" s="2" t="s">
        <v>1020</v>
      </c>
      <c r="D254" s="2" t="s">
        <v>8</v>
      </c>
      <c r="E254" s="2">
        <v>4</v>
      </c>
      <c r="F254" s="2">
        <v>668.36</v>
      </c>
      <c r="G254" s="2" t="s">
        <v>1021</v>
      </c>
      <c r="H254" s="2" t="s">
        <v>66</v>
      </c>
      <c r="I254" s="2" t="s">
        <v>44</v>
      </c>
      <c r="J254" s="2" t="s">
        <v>1022</v>
      </c>
      <c r="K254" s="2">
        <v>5</v>
      </c>
      <c r="L254" s="2" t="s">
        <v>46</v>
      </c>
      <c r="M254" s="2" t="s">
        <v>53</v>
      </c>
      <c r="N254" s="2">
        <v>2673.44</v>
      </c>
    </row>
    <row r="255" spans="1:14">
      <c r="A255" s="2" t="s">
        <v>1023</v>
      </c>
      <c r="B255" s="2">
        <v>45374</v>
      </c>
      <c r="C255" s="2" t="s">
        <v>1024</v>
      </c>
      <c r="D255" s="2" t="s">
        <v>4</v>
      </c>
      <c r="E255" s="2">
        <v>4</v>
      </c>
      <c r="F255" s="2">
        <v>413.74</v>
      </c>
      <c r="G255" s="2" t="s">
        <v>440</v>
      </c>
      <c r="H255" s="2" t="s">
        <v>66</v>
      </c>
      <c r="I255" s="2" t="s">
        <v>51</v>
      </c>
      <c r="J255" s="2" t="s">
        <v>1025</v>
      </c>
      <c r="K255" s="2">
        <v>7</v>
      </c>
      <c r="L255" s="2" t="s">
        <v>46</v>
      </c>
      <c r="M255" s="2" t="s">
        <v>33</v>
      </c>
      <c r="N255" s="2">
        <v>1654.96</v>
      </c>
    </row>
    <row r="256" spans="1:14">
      <c r="A256" s="2" t="s">
        <v>1026</v>
      </c>
      <c r="B256" s="2">
        <v>45286</v>
      </c>
      <c r="C256" s="2" t="s">
        <v>1027</v>
      </c>
      <c r="D256" s="2" t="s">
        <v>7</v>
      </c>
      <c r="E256" s="2">
        <v>3</v>
      </c>
      <c r="F256" s="2">
        <v>263.19</v>
      </c>
      <c r="G256" s="2" t="s">
        <v>966</v>
      </c>
      <c r="H256" s="2" t="s">
        <v>37</v>
      </c>
      <c r="I256" s="2" t="s">
        <v>57</v>
      </c>
      <c r="J256" s="2" t="s">
        <v>1028</v>
      </c>
      <c r="K256" s="2">
        <v>5</v>
      </c>
      <c r="L256" s="2" t="s">
        <v>77</v>
      </c>
      <c r="M256" s="2" t="s">
        <v>33</v>
      </c>
      <c r="N256" s="2">
        <v>789.57</v>
      </c>
    </row>
    <row r="257" spans="1:14">
      <c r="A257" s="2" t="s">
        <v>1029</v>
      </c>
      <c r="B257" s="2">
        <v>45425</v>
      </c>
      <c r="C257" s="2" t="s">
        <v>1030</v>
      </c>
      <c r="D257" s="2" t="s">
        <v>7</v>
      </c>
      <c r="E257" s="2">
        <v>1</v>
      </c>
      <c r="F257" s="2">
        <v>263.96</v>
      </c>
      <c r="G257" s="2" t="s">
        <v>721</v>
      </c>
      <c r="H257" s="2" t="s">
        <v>66</v>
      </c>
      <c r="I257" s="2" t="s">
        <v>51</v>
      </c>
      <c r="J257" s="2" t="s">
        <v>1031</v>
      </c>
      <c r="K257" s="2">
        <v>2</v>
      </c>
      <c r="L257" s="2" t="s">
        <v>32</v>
      </c>
      <c r="M257" s="2" t="s">
        <v>82</v>
      </c>
      <c r="N257" s="2">
        <v>263.96</v>
      </c>
    </row>
    <row r="258" spans="1:14">
      <c r="A258" s="2" t="s">
        <v>1032</v>
      </c>
      <c r="B258" s="2">
        <v>45838</v>
      </c>
      <c r="C258" s="2" t="s">
        <v>1033</v>
      </c>
      <c r="D258" s="2" t="s">
        <v>4</v>
      </c>
      <c r="E258" s="2">
        <v>5</v>
      </c>
      <c r="F258" s="2">
        <v>75.81</v>
      </c>
      <c r="G258" s="2" t="s">
        <v>1034</v>
      </c>
      <c r="H258" s="2" t="s">
        <v>66</v>
      </c>
      <c r="I258" s="2" t="s">
        <v>51</v>
      </c>
      <c r="J258" s="2" t="s">
        <v>1035</v>
      </c>
      <c r="K258" s="2">
        <v>10</v>
      </c>
      <c r="L258" s="2" t="s">
        <v>87</v>
      </c>
      <c r="M258" s="2" t="s">
        <v>33</v>
      </c>
      <c r="N258" s="2">
        <v>379.05</v>
      </c>
    </row>
    <row r="259" spans="1:14">
      <c r="A259" s="2" t="s">
        <v>1036</v>
      </c>
      <c r="B259" s="2">
        <v>45405</v>
      </c>
      <c r="C259" s="2" t="s">
        <v>1037</v>
      </c>
      <c r="D259" s="2" t="s">
        <v>8</v>
      </c>
      <c r="E259" s="2">
        <v>1</v>
      </c>
      <c r="F259" s="2">
        <v>406.22</v>
      </c>
      <c r="G259" s="2" t="s">
        <v>1038</v>
      </c>
      <c r="H259" s="2" t="s">
        <v>43</v>
      </c>
      <c r="I259" s="2" t="s">
        <v>44</v>
      </c>
      <c r="J259" s="2" t="s">
        <v>1039</v>
      </c>
      <c r="K259" s="2">
        <v>5</v>
      </c>
      <c r="L259" s="2" t="s">
        <v>32</v>
      </c>
      <c r="M259" s="2" t="s">
        <v>39</v>
      </c>
      <c r="N259" s="2">
        <v>406.22</v>
      </c>
    </row>
    <row r="260" spans="1:14">
      <c r="A260" s="2" t="s">
        <v>1040</v>
      </c>
      <c r="B260" s="2">
        <v>45348</v>
      </c>
      <c r="C260" s="2" t="s">
        <v>1041</v>
      </c>
      <c r="D260" s="2" t="s">
        <v>10</v>
      </c>
      <c r="E260" s="2">
        <v>2</v>
      </c>
      <c r="F260" s="2">
        <v>103.41</v>
      </c>
      <c r="G260" s="2" t="s">
        <v>1042</v>
      </c>
      <c r="H260" s="2" t="s">
        <v>37</v>
      </c>
      <c r="I260" s="2" t="s">
        <v>30</v>
      </c>
      <c r="J260" s="2" t="s">
        <v>1043</v>
      </c>
      <c r="K260" s="2">
        <v>2</v>
      </c>
      <c r="L260" s="2" t="s">
        <v>46</v>
      </c>
      <c r="M260" s="2" t="s">
        <v>39</v>
      </c>
      <c r="N260" s="2">
        <v>206.82</v>
      </c>
    </row>
    <row r="261" spans="1:14">
      <c r="A261" s="2" t="s">
        <v>1044</v>
      </c>
      <c r="B261" s="2">
        <v>45088</v>
      </c>
      <c r="C261" s="2" t="s">
        <v>1045</v>
      </c>
      <c r="D261" s="2" t="s">
        <v>4</v>
      </c>
      <c r="E261" s="2">
        <v>4</v>
      </c>
      <c r="F261" s="2">
        <v>435.12</v>
      </c>
      <c r="G261" s="2" t="s">
        <v>571</v>
      </c>
      <c r="H261" s="2" t="s">
        <v>43</v>
      </c>
      <c r="I261" s="2" t="s">
        <v>57</v>
      </c>
      <c r="J261" s="2" t="s">
        <v>1046</v>
      </c>
      <c r="K261" s="2">
        <v>9</v>
      </c>
      <c r="L261" s="2" t="s">
        <v>32</v>
      </c>
      <c r="M261" s="2" t="s">
        <v>33</v>
      </c>
      <c r="N261" s="2">
        <v>1740.48</v>
      </c>
    </row>
    <row r="262" spans="1:14">
      <c r="A262" s="2" t="s">
        <v>1047</v>
      </c>
      <c r="B262" s="2">
        <v>45063</v>
      </c>
      <c r="C262" s="2" t="s">
        <v>1048</v>
      </c>
      <c r="D262" s="2" t="s">
        <v>7</v>
      </c>
      <c r="E262" s="2">
        <v>2</v>
      </c>
      <c r="F262" s="2">
        <v>407.79</v>
      </c>
      <c r="G262" s="2" t="s">
        <v>1049</v>
      </c>
      <c r="H262" s="2" t="s">
        <v>29</v>
      </c>
      <c r="I262" s="2" t="s">
        <v>30</v>
      </c>
      <c r="J262" s="2" t="s">
        <v>1050</v>
      </c>
      <c r="K262" s="2">
        <v>3</v>
      </c>
      <c r="L262" s="2" t="s">
        <v>77</v>
      </c>
      <c r="M262" s="2" t="s">
        <v>82</v>
      </c>
      <c r="N262" s="2">
        <v>815.58</v>
      </c>
    </row>
    <row r="263" spans="1:14">
      <c r="A263" s="2" t="s">
        <v>1051</v>
      </c>
      <c r="B263" s="2">
        <v>45805</v>
      </c>
      <c r="C263" s="2" t="s">
        <v>1052</v>
      </c>
      <c r="D263" s="2" t="s">
        <v>8</v>
      </c>
      <c r="E263" s="2">
        <v>5</v>
      </c>
      <c r="F263" s="2">
        <v>173.65</v>
      </c>
      <c r="G263" s="2" t="s">
        <v>1053</v>
      </c>
      <c r="H263" s="2" t="s">
        <v>66</v>
      </c>
      <c r="I263" s="2" t="s">
        <v>57</v>
      </c>
      <c r="J263" s="2" t="s">
        <v>1054</v>
      </c>
      <c r="K263" s="2">
        <v>9</v>
      </c>
      <c r="L263" s="2" t="s">
        <v>32</v>
      </c>
      <c r="M263" s="2" t="s">
        <v>47</v>
      </c>
      <c r="N263" s="2">
        <v>868.25</v>
      </c>
    </row>
    <row r="264" spans="1:14">
      <c r="A264" s="2" t="s">
        <v>1055</v>
      </c>
      <c r="B264" s="2">
        <v>44936</v>
      </c>
      <c r="C264" s="2" t="s">
        <v>1056</v>
      </c>
      <c r="D264" s="2" t="s">
        <v>8</v>
      </c>
      <c r="E264" s="2">
        <v>4</v>
      </c>
      <c r="F264" s="2">
        <v>249.07</v>
      </c>
      <c r="G264" s="2" t="s">
        <v>578</v>
      </c>
      <c r="H264" s="2" t="s">
        <v>43</v>
      </c>
      <c r="I264" s="2" t="s">
        <v>51</v>
      </c>
      <c r="J264" s="2" t="s">
        <v>1057</v>
      </c>
      <c r="K264" s="2">
        <v>5</v>
      </c>
      <c r="L264" s="2" t="s">
        <v>87</v>
      </c>
      <c r="M264" s="2" t="s">
        <v>39</v>
      </c>
      <c r="N264" s="2">
        <v>996.28</v>
      </c>
    </row>
    <row r="265" spans="1:14">
      <c r="A265" s="2" t="s">
        <v>1058</v>
      </c>
      <c r="B265" s="2">
        <v>45010</v>
      </c>
      <c r="C265" s="2" t="s">
        <v>1059</v>
      </c>
      <c r="D265" s="2" t="s">
        <v>8</v>
      </c>
      <c r="E265" s="2">
        <v>4</v>
      </c>
      <c r="F265" s="2">
        <v>434.85</v>
      </c>
      <c r="G265" s="2" t="s">
        <v>1060</v>
      </c>
      <c r="H265" s="2" t="s">
        <v>43</v>
      </c>
      <c r="I265" s="2" t="s">
        <v>95</v>
      </c>
      <c r="J265" s="2" t="s">
        <v>1061</v>
      </c>
      <c r="K265" s="2">
        <v>4</v>
      </c>
      <c r="L265" s="2" t="s">
        <v>87</v>
      </c>
      <c r="M265" s="2" t="s">
        <v>82</v>
      </c>
      <c r="N265" s="2">
        <v>1739.4</v>
      </c>
    </row>
    <row r="266" spans="1:14">
      <c r="A266" s="2" t="s">
        <v>1062</v>
      </c>
      <c r="B266" s="2">
        <v>45507</v>
      </c>
      <c r="C266" s="2" t="s">
        <v>1063</v>
      </c>
      <c r="D266" s="2" t="s">
        <v>10</v>
      </c>
      <c r="E266" s="2">
        <v>1</v>
      </c>
      <c r="F266" s="2">
        <v>436.77</v>
      </c>
      <c r="G266" s="2" t="s">
        <v>1064</v>
      </c>
      <c r="H266" s="2" t="s">
        <v>71</v>
      </c>
      <c r="I266" s="2" t="s">
        <v>51</v>
      </c>
      <c r="J266" s="2" t="s">
        <v>1065</v>
      </c>
      <c r="K266" s="2">
        <v>5</v>
      </c>
      <c r="L266" s="2" t="s">
        <v>46</v>
      </c>
      <c r="M266" s="2" t="s">
        <v>82</v>
      </c>
      <c r="N266" s="2">
        <v>436.77</v>
      </c>
    </row>
    <row r="267" spans="1:14">
      <c r="A267" s="2" t="s">
        <v>1066</v>
      </c>
      <c r="B267" s="2">
        <v>45282</v>
      </c>
      <c r="C267" s="2" t="s">
        <v>1067</v>
      </c>
      <c r="D267" s="2" t="s">
        <v>9</v>
      </c>
      <c r="E267" s="2">
        <v>1</v>
      </c>
      <c r="F267" s="2">
        <v>572.13</v>
      </c>
      <c r="G267" s="2" t="s">
        <v>1068</v>
      </c>
      <c r="H267" s="2" t="s">
        <v>29</v>
      </c>
      <c r="I267" s="2" t="s">
        <v>44</v>
      </c>
      <c r="J267" s="2" t="s">
        <v>1069</v>
      </c>
      <c r="K267" s="2">
        <v>4</v>
      </c>
      <c r="L267" s="2" t="s">
        <v>32</v>
      </c>
      <c r="M267" s="2" t="s">
        <v>82</v>
      </c>
      <c r="N267" s="2">
        <v>572.13</v>
      </c>
    </row>
    <row r="268" spans="1:14">
      <c r="A268" s="2" t="s">
        <v>1070</v>
      </c>
      <c r="B268" s="2">
        <v>45451</v>
      </c>
      <c r="C268" s="2" t="s">
        <v>1071</v>
      </c>
      <c r="D268" s="2" t="s">
        <v>4</v>
      </c>
      <c r="E268" s="2">
        <v>4</v>
      </c>
      <c r="F268" s="2">
        <v>583.07</v>
      </c>
      <c r="G268" s="2" t="s">
        <v>1072</v>
      </c>
      <c r="H268" s="2" t="s">
        <v>43</v>
      </c>
      <c r="I268" s="2" t="s">
        <v>44</v>
      </c>
      <c r="J268" s="2" t="s">
        <v>1073</v>
      </c>
      <c r="K268" s="2">
        <v>6</v>
      </c>
      <c r="L268" s="2" t="s">
        <v>46</v>
      </c>
      <c r="M268" s="2" t="s">
        <v>39</v>
      </c>
      <c r="N268" s="2">
        <v>2332.28</v>
      </c>
    </row>
    <row r="269" spans="1:14">
      <c r="A269" s="2" t="s">
        <v>1074</v>
      </c>
      <c r="B269" s="2">
        <v>45764</v>
      </c>
      <c r="C269" s="2" t="s">
        <v>1075</v>
      </c>
      <c r="D269" s="2" t="s">
        <v>4</v>
      </c>
      <c r="E269" s="2">
        <v>5</v>
      </c>
      <c r="F269" s="2">
        <v>468.51</v>
      </c>
      <c r="G269" s="2" t="s">
        <v>1076</v>
      </c>
      <c r="H269" s="2" t="s">
        <v>29</v>
      </c>
      <c r="I269" s="2" t="s">
        <v>57</v>
      </c>
      <c r="J269" s="2" t="s">
        <v>1077</v>
      </c>
      <c r="K269" s="2">
        <v>9</v>
      </c>
      <c r="L269" s="2" t="s">
        <v>77</v>
      </c>
      <c r="M269" s="2" t="s">
        <v>53</v>
      </c>
      <c r="N269" s="2">
        <v>2342.55</v>
      </c>
    </row>
    <row r="270" spans="1:14">
      <c r="A270" s="2" t="s">
        <v>1078</v>
      </c>
      <c r="B270" s="2">
        <v>45149</v>
      </c>
      <c r="C270" s="2" t="s">
        <v>1079</v>
      </c>
      <c r="D270" s="2" t="s">
        <v>8</v>
      </c>
      <c r="E270" s="2">
        <v>2</v>
      </c>
      <c r="F270" s="2">
        <v>423.88</v>
      </c>
      <c r="G270" s="2" t="s">
        <v>1080</v>
      </c>
      <c r="H270" s="2" t="s">
        <v>29</v>
      </c>
      <c r="I270" s="2" t="s">
        <v>57</v>
      </c>
      <c r="J270" s="2" t="s">
        <v>1081</v>
      </c>
      <c r="K270" s="2">
        <v>7</v>
      </c>
      <c r="L270" s="2" t="s">
        <v>32</v>
      </c>
      <c r="M270" s="2" t="s">
        <v>39</v>
      </c>
      <c r="N270" s="2">
        <v>847.76</v>
      </c>
    </row>
    <row r="271" spans="1:14">
      <c r="A271" s="2" t="s">
        <v>1082</v>
      </c>
      <c r="B271" s="2">
        <v>45255</v>
      </c>
      <c r="C271" s="2" t="s">
        <v>1083</v>
      </c>
      <c r="D271" s="2" t="s">
        <v>10</v>
      </c>
      <c r="E271" s="2">
        <v>4</v>
      </c>
      <c r="F271" s="2">
        <v>663.67</v>
      </c>
      <c r="G271" s="2" t="s">
        <v>333</v>
      </c>
      <c r="H271" s="2" t="s">
        <v>43</v>
      </c>
      <c r="I271" s="2" t="s">
        <v>95</v>
      </c>
      <c r="J271" s="2" t="s">
        <v>1084</v>
      </c>
      <c r="K271" s="2">
        <v>7</v>
      </c>
      <c r="L271" s="2" t="s">
        <v>46</v>
      </c>
      <c r="M271" s="2" t="s">
        <v>82</v>
      </c>
      <c r="N271" s="2">
        <v>2654.68</v>
      </c>
    </row>
    <row r="272" spans="1:14">
      <c r="A272" s="2" t="s">
        <v>1085</v>
      </c>
      <c r="B272" s="2">
        <v>45081</v>
      </c>
      <c r="C272" s="2" t="s">
        <v>1086</v>
      </c>
      <c r="D272" s="2" t="s">
        <v>9</v>
      </c>
      <c r="E272" s="2">
        <v>4</v>
      </c>
      <c r="F272" s="2">
        <v>309.91</v>
      </c>
      <c r="G272" s="2" t="s">
        <v>1087</v>
      </c>
      <c r="H272" s="2" t="s">
        <v>29</v>
      </c>
      <c r="I272" s="2" t="s">
        <v>30</v>
      </c>
      <c r="J272" s="2" t="s">
        <v>1088</v>
      </c>
      <c r="K272" s="2">
        <v>5</v>
      </c>
      <c r="L272" s="2" t="s">
        <v>87</v>
      </c>
      <c r="M272" s="2" t="s">
        <v>82</v>
      </c>
      <c r="N272" s="2">
        <v>1239.64</v>
      </c>
    </row>
    <row r="273" spans="1:14">
      <c r="A273" s="2" t="s">
        <v>1089</v>
      </c>
      <c r="B273" s="2">
        <v>45013</v>
      </c>
      <c r="C273" s="2" t="s">
        <v>1090</v>
      </c>
      <c r="D273" s="2" t="s">
        <v>7</v>
      </c>
      <c r="E273" s="2">
        <v>1</v>
      </c>
      <c r="F273" s="2">
        <v>542.07</v>
      </c>
      <c r="G273" s="2" t="s">
        <v>1091</v>
      </c>
      <c r="H273" s="2" t="s">
        <v>71</v>
      </c>
      <c r="I273" s="2" t="s">
        <v>30</v>
      </c>
      <c r="J273" s="2" t="s">
        <v>1092</v>
      </c>
      <c r="K273" s="2">
        <v>6</v>
      </c>
      <c r="L273" s="2" t="s">
        <v>87</v>
      </c>
      <c r="M273" s="2" t="s">
        <v>39</v>
      </c>
      <c r="N273" s="2">
        <v>542.07</v>
      </c>
    </row>
    <row r="274" spans="1:14">
      <c r="A274" s="2" t="s">
        <v>1093</v>
      </c>
      <c r="B274" s="2">
        <v>45188</v>
      </c>
      <c r="C274" s="2" t="s">
        <v>1094</v>
      </c>
      <c r="D274" s="2" t="s">
        <v>4</v>
      </c>
      <c r="E274" s="2">
        <v>2</v>
      </c>
      <c r="F274" s="2">
        <v>399.32</v>
      </c>
      <c r="G274" s="2" t="s">
        <v>1095</v>
      </c>
      <c r="H274" s="2" t="s">
        <v>37</v>
      </c>
      <c r="I274" s="2" t="s">
        <v>95</v>
      </c>
      <c r="J274" s="2" t="s">
        <v>1096</v>
      </c>
      <c r="K274" s="2">
        <v>6</v>
      </c>
      <c r="L274" s="2" t="s">
        <v>87</v>
      </c>
      <c r="M274" s="2" t="s">
        <v>33</v>
      </c>
      <c r="N274" s="2">
        <v>798.64</v>
      </c>
    </row>
    <row r="275" spans="1:14">
      <c r="A275" s="2" t="s">
        <v>1097</v>
      </c>
      <c r="B275" s="2">
        <v>45592</v>
      </c>
      <c r="C275" s="2" t="s">
        <v>1098</v>
      </c>
      <c r="D275" s="2" t="s">
        <v>10</v>
      </c>
      <c r="E275" s="2">
        <v>2</v>
      </c>
      <c r="F275" s="2">
        <v>238.25</v>
      </c>
      <c r="G275" s="2" t="s">
        <v>1099</v>
      </c>
      <c r="H275" s="2" t="s">
        <v>37</v>
      </c>
      <c r="I275" s="2" t="s">
        <v>44</v>
      </c>
      <c r="J275" s="2" t="s">
        <v>1100</v>
      </c>
      <c r="K275" s="2">
        <v>7</v>
      </c>
      <c r="L275" s="2" t="s">
        <v>46</v>
      </c>
      <c r="M275" s="2" t="s">
        <v>47</v>
      </c>
      <c r="N275" s="2">
        <v>476.5</v>
      </c>
    </row>
    <row r="276" spans="1:14">
      <c r="A276" s="2" t="s">
        <v>1101</v>
      </c>
      <c r="B276" s="2">
        <v>44961</v>
      </c>
      <c r="C276" s="2" t="s">
        <v>1102</v>
      </c>
      <c r="D276" s="2" t="s">
        <v>8</v>
      </c>
      <c r="E276" s="2">
        <v>2</v>
      </c>
      <c r="F276" s="2">
        <v>182.4</v>
      </c>
      <c r="G276" s="2" t="s">
        <v>1103</v>
      </c>
      <c r="H276" s="2" t="s">
        <v>66</v>
      </c>
      <c r="I276" s="2" t="s">
        <v>44</v>
      </c>
      <c r="J276" s="2" t="s">
        <v>1104</v>
      </c>
      <c r="K276" s="2">
        <v>5</v>
      </c>
      <c r="L276" s="2" t="s">
        <v>32</v>
      </c>
      <c r="M276" s="2" t="s">
        <v>39</v>
      </c>
      <c r="N276" s="2">
        <v>364.8</v>
      </c>
    </row>
    <row r="277" spans="1:14">
      <c r="A277" s="2" t="s">
        <v>1105</v>
      </c>
      <c r="B277" s="2">
        <v>45234</v>
      </c>
      <c r="C277" s="2" t="s">
        <v>1106</v>
      </c>
      <c r="D277" s="2" t="s">
        <v>4</v>
      </c>
      <c r="E277" s="2">
        <v>2</v>
      </c>
      <c r="F277" s="2">
        <v>65.07</v>
      </c>
      <c r="G277" s="2" t="s">
        <v>1107</v>
      </c>
      <c r="H277" s="2" t="s">
        <v>43</v>
      </c>
      <c r="I277" s="2" t="s">
        <v>44</v>
      </c>
      <c r="J277" s="2" t="s">
        <v>1108</v>
      </c>
      <c r="K277" s="2">
        <v>4</v>
      </c>
      <c r="L277" s="2" t="s">
        <v>32</v>
      </c>
      <c r="M277" s="2" t="s">
        <v>82</v>
      </c>
      <c r="N277" s="2">
        <v>130.14</v>
      </c>
    </row>
    <row r="278" spans="1:14">
      <c r="A278" s="2" t="s">
        <v>1109</v>
      </c>
      <c r="B278" s="2">
        <v>45745</v>
      </c>
      <c r="C278" s="2" t="s">
        <v>1110</v>
      </c>
      <c r="D278" s="2" t="s">
        <v>9</v>
      </c>
      <c r="E278" s="2">
        <v>2</v>
      </c>
      <c r="F278" s="2">
        <v>600.57</v>
      </c>
      <c r="G278" s="2" t="s">
        <v>1111</v>
      </c>
      <c r="H278" s="2" t="s">
        <v>29</v>
      </c>
      <c r="I278" s="2" t="s">
        <v>51</v>
      </c>
      <c r="J278" s="2" t="s">
        <v>1112</v>
      </c>
      <c r="K278" s="2">
        <v>3</v>
      </c>
      <c r="L278" s="2" t="s">
        <v>87</v>
      </c>
      <c r="M278" s="2" t="s">
        <v>33</v>
      </c>
      <c r="N278" s="2">
        <v>1201.14</v>
      </c>
    </row>
    <row r="279" spans="1:14">
      <c r="A279" s="2" t="s">
        <v>1113</v>
      </c>
      <c r="B279" s="2">
        <v>45544</v>
      </c>
      <c r="C279" s="2" t="s">
        <v>1114</v>
      </c>
      <c r="D279" s="2" t="s">
        <v>4</v>
      </c>
      <c r="E279" s="2">
        <v>5</v>
      </c>
      <c r="F279" s="2">
        <v>90.92</v>
      </c>
      <c r="G279" s="2" t="s">
        <v>1115</v>
      </c>
      <c r="H279" s="2" t="s">
        <v>43</v>
      </c>
      <c r="I279" s="2" t="s">
        <v>57</v>
      </c>
      <c r="J279" s="2" t="s">
        <v>1116</v>
      </c>
      <c r="K279" s="2">
        <v>9</v>
      </c>
      <c r="L279" s="2" t="s">
        <v>32</v>
      </c>
      <c r="M279" s="2" t="s">
        <v>53</v>
      </c>
      <c r="N279" s="2">
        <v>454.6</v>
      </c>
    </row>
    <row r="280" spans="1:14">
      <c r="A280" s="2" t="s">
        <v>1117</v>
      </c>
      <c r="B280" s="2">
        <v>45614</v>
      </c>
      <c r="C280" s="2" t="s">
        <v>1118</v>
      </c>
      <c r="D280" s="2" t="s">
        <v>6</v>
      </c>
      <c r="E280" s="2">
        <v>5</v>
      </c>
      <c r="F280" s="2">
        <v>362.46</v>
      </c>
      <c r="G280" s="2" t="s">
        <v>1119</v>
      </c>
      <c r="H280" s="2" t="s">
        <v>71</v>
      </c>
      <c r="I280" s="2" t="s">
        <v>57</v>
      </c>
      <c r="J280" s="2" t="s">
        <v>1120</v>
      </c>
      <c r="K280" s="2">
        <v>6</v>
      </c>
      <c r="L280" s="2" t="s">
        <v>46</v>
      </c>
      <c r="M280" s="2" t="s">
        <v>33</v>
      </c>
      <c r="N280" s="2">
        <v>1812.3</v>
      </c>
    </row>
    <row r="281" spans="1:14">
      <c r="A281" s="2" t="s">
        <v>1121</v>
      </c>
      <c r="B281" s="2">
        <v>45219</v>
      </c>
      <c r="C281" s="2" t="s">
        <v>1122</v>
      </c>
      <c r="D281" s="2" t="s">
        <v>4</v>
      </c>
      <c r="E281" s="2">
        <v>3</v>
      </c>
      <c r="F281" s="2">
        <v>55.01</v>
      </c>
      <c r="G281" s="2" t="s">
        <v>1123</v>
      </c>
      <c r="H281" s="2" t="s">
        <v>37</v>
      </c>
      <c r="I281" s="2" t="s">
        <v>95</v>
      </c>
      <c r="J281" s="2" t="s">
        <v>1124</v>
      </c>
      <c r="K281" s="2">
        <v>7</v>
      </c>
      <c r="L281" s="2" t="s">
        <v>87</v>
      </c>
      <c r="M281" s="2" t="s">
        <v>47</v>
      </c>
      <c r="N281" s="2">
        <v>165.03</v>
      </c>
    </row>
    <row r="282" spans="1:14">
      <c r="A282" s="2" t="s">
        <v>1125</v>
      </c>
      <c r="B282" s="2">
        <v>45012</v>
      </c>
      <c r="C282" s="2" t="s">
        <v>1126</v>
      </c>
      <c r="D282" s="2" t="s">
        <v>10</v>
      </c>
      <c r="E282" s="2">
        <v>3</v>
      </c>
      <c r="F282" s="2">
        <v>404.62</v>
      </c>
      <c r="G282" s="2" t="s">
        <v>1127</v>
      </c>
      <c r="H282" s="2" t="s">
        <v>66</v>
      </c>
      <c r="I282" s="2" t="s">
        <v>57</v>
      </c>
      <c r="J282" s="2" t="s">
        <v>1128</v>
      </c>
      <c r="K282" s="2">
        <v>6</v>
      </c>
      <c r="L282" s="2" t="s">
        <v>46</v>
      </c>
      <c r="M282" s="2" t="s">
        <v>33</v>
      </c>
      <c r="N282" s="2">
        <v>1213.86</v>
      </c>
    </row>
    <row r="283" spans="1:14">
      <c r="A283" s="2" t="s">
        <v>1129</v>
      </c>
      <c r="B283" s="2">
        <v>45134</v>
      </c>
      <c r="C283" s="2" t="s">
        <v>1130</v>
      </c>
      <c r="D283" s="2" t="s">
        <v>5</v>
      </c>
      <c r="E283" s="2">
        <v>4</v>
      </c>
      <c r="F283" s="2">
        <v>654.79</v>
      </c>
      <c r="G283" s="2" t="s">
        <v>1131</v>
      </c>
      <c r="H283" s="2" t="s">
        <v>71</v>
      </c>
      <c r="I283" s="2" t="s">
        <v>95</v>
      </c>
      <c r="J283" s="2" t="s">
        <v>1132</v>
      </c>
      <c r="K283" s="2">
        <v>9</v>
      </c>
      <c r="L283" s="2" t="s">
        <v>77</v>
      </c>
      <c r="M283" s="2" t="s">
        <v>39</v>
      </c>
      <c r="N283" s="2">
        <v>2619.16</v>
      </c>
    </row>
    <row r="284" spans="1:14">
      <c r="A284" s="2" t="s">
        <v>1133</v>
      </c>
      <c r="B284" s="2">
        <v>45769</v>
      </c>
      <c r="C284" s="2" t="s">
        <v>1134</v>
      </c>
      <c r="D284" s="2" t="s">
        <v>9</v>
      </c>
      <c r="E284" s="2">
        <v>4</v>
      </c>
      <c r="F284" s="2">
        <v>637.79</v>
      </c>
      <c r="G284" s="2" t="s">
        <v>1135</v>
      </c>
      <c r="H284" s="2" t="s">
        <v>66</v>
      </c>
      <c r="I284" s="2" t="s">
        <v>44</v>
      </c>
      <c r="J284" s="2" t="s">
        <v>1136</v>
      </c>
      <c r="K284" s="2">
        <v>9</v>
      </c>
      <c r="L284" s="2" t="s">
        <v>46</v>
      </c>
      <c r="M284" s="2" t="s">
        <v>82</v>
      </c>
      <c r="N284" s="2">
        <v>2551.16</v>
      </c>
    </row>
    <row r="285" spans="1:14">
      <c r="A285" s="2" t="s">
        <v>1137</v>
      </c>
      <c r="B285" s="2">
        <v>45716</v>
      </c>
      <c r="C285" s="2" t="s">
        <v>1138</v>
      </c>
      <c r="D285" s="2" t="s">
        <v>6</v>
      </c>
      <c r="E285" s="2">
        <v>4</v>
      </c>
      <c r="F285" s="2">
        <v>540.33</v>
      </c>
      <c r="G285" s="2" t="s">
        <v>1139</v>
      </c>
      <c r="H285" s="2" t="s">
        <v>71</v>
      </c>
      <c r="I285" s="2" t="s">
        <v>30</v>
      </c>
      <c r="J285" s="2" t="s">
        <v>1140</v>
      </c>
      <c r="K285" s="2">
        <v>6</v>
      </c>
      <c r="L285" s="2" t="s">
        <v>77</v>
      </c>
      <c r="M285" s="2" t="s">
        <v>82</v>
      </c>
      <c r="N285" s="2">
        <v>2161.32</v>
      </c>
    </row>
    <row r="286" spans="1:14">
      <c r="A286" s="2" t="s">
        <v>1141</v>
      </c>
      <c r="B286" s="2">
        <v>44973</v>
      </c>
      <c r="C286" s="2" t="s">
        <v>1142</v>
      </c>
      <c r="D286" s="2" t="s">
        <v>6</v>
      </c>
      <c r="E286" s="2">
        <v>5</v>
      </c>
      <c r="F286" s="2">
        <v>208.17</v>
      </c>
      <c r="G286" s="2" t="s">
        <v>1143</v>
      </c>
      <c r="H286" s="2" t="s">
        <v>43</v>
      </c>
      <c r="I286" s="2" t="s">
        <v>51</v>
      </c>
      <c r="J286" s="2" t="s">
        <v>1144</v>
      </c>
      <c r="K286" s="2">
        <v>6</v>
      </c>
      <c r="L286" s="2" t="s">
        <v>32</v>
      </c>
      <c r="M286" s="2" t="s">
        <v>53</v>
      </c>
      <c r="N286" s="2">
        <v>1040.85</v>
      </c>
    </row>
    <row r="287" spans="1:14">
      <c r="A287" s="2" t="s">
        <v>1145</v>
      </c>
      <c r="B287" s="2">
        <v>45818</v>
      </c>
      <c r="C287" s="2" t="s">
        <v>1146</v>
      </c>
      <c r="D287" s="2" t="s">
        <v>8</v>
      </c>
      <c r="E287" s="2">
        <v>1</v>
      </c>
      <c r="F287" s="2">
        <v>338.31</v>
      </c>
      <c r="G287" s="2" t="s">
        <v>1099</v>
      </c>
      <c r="H287" s="2" t="s">
        <v>37</v>
      </c>
      <c r="I287" s="2" t="s">
        <v>57</v>
      </c>
      <c r="J287" s="2" t="s">
        <v>1147</v>
      </c>
      <c r="K287" s="2">
        <v>3</v>
      </c>
      <c r="L287" s="2" t="s">
        <v>77</v>
      </c>
      <c r="M287" s="2" t="s">
        <v>82</v>
      </c>
      <c r="N287" s="2">
        <v>338.31</v>
      </c>
    </row>
    <row r="288" spans="1:14">
      <c r="A288" s="2" t="s">
        <v>1148</v>
      </c>
      <c r="B288" s="2">
        <v>45754</v>
      </c>
      <c r="C288" s="2" t="s">
        <v>1149</v>
      </c>
      <c r="D288" s="2" t="s">
        <v>7</v>
      </c>
      <c r="E288" s="2">
        <v>3</v>
      </c>
      <c r="F288" s="2">
        <v>139.45</v>
      </c>
      <c r="G288" s="2" t="s">
        <v>516</v>
      </c>
      <c r="H288" s="2" t="s">
        <v>66</v>
      </c>
      <c r="I288" s="2" t="s">
        <v>51</v>
      </c>
      <c r="J288" s="2" t="s">
        <v>1150</v>
      </c>
      <c r="K288" s="2">
        <v>8</v>
      </c>
      <c r="L288" s="2" t="s">
        <v>87</v>
      </c>
      <c r="M288" s="2" t="s">
        <v>82</v>
      </c>
      <c r="N288" s="2">
        <v>418.35</v>
      </c>
    </row>
    <row r="289" spans="1:14">
      <c r="A289" s="2" t="s">
        <v>1151</v>
      </c>
      <c r="B289" s="2">
        <v>45254</v>
      </c>
      <c r="C289" s="2" t="s">
        <v>1152</v>
      </c>
      <c r="D289" s="2" t="s">
        <v>4</v>
      </c>
      <c r="E289" s="2">
        <v>4</v>
      </c>
      <c r="F289" s="2">
        <v>655.18</v>
      </c>
      <c r="G289" s="2" t="s">
        <v>1153</v>
      </c>
      <c r="H289" s="2" t="s">
        <v>37</v>
      </c>
      <c r="I289" s="2" t="s">
        <v>30</v>
      </c>
      <c r="J289" s="2" t="s">
        <v>1154</v>
      </c>
      <c r="K289" s="2">
        <v>5</v>
      </c>
      <c r="L289" s="2" t="s">
        <v>77</v>
      </c>
      <c r="M289" s="2" t="s">
        <v>53</v>
      </c>
      <c r="N289" s="2">
        <v>2620.72</v>
      </c>
    </row>
    <row r="290" spans="1:14">
      <c r="A290" s="2" t="s">
        <v>1155</v>
      </c>
      <c r="B290" s="2">
        <v>44997</v>
      </c>
      <c r="C290" s="2" t="s">
        <v>1156</v>
      </c>
      <c r="D290" s="2" t="s">
        <v>6</v>
      </c>
      <c r="E290" s="2">
        <v>4</v>
      </c>
      <c r="F290" s="2">
        <v>512.75</v>
      </c>
      <c r="G290" s="2" t="s">
        <v>1157</v>
      </c>
      <c r="H290" s="2" t="s">
        <v>29</v>
      </c>
      <c r="I290" s="2" t="s">
        <v>51</v>
      </c>
      <c r="J290" s="2" t="s">
        <v>1158</v>
      </c>
      <c r="K290" s="2">
        <v>8</v>
      </c>
      <c r="L290" s="2" t="s">
        <v>87</v>
      </c>
      <c r="M290" s="2" t="s">
        <v>82</v>
      </c>
      <c r="N290" s="2">
        <v>2051</v>
      </c>
    </row>
    <row r="291" spans="1:14">
      <c r="A291" s="2" t="s">
        <v>1159</v>
      </c>
      <c r="B291" s="2">
        <v>45133</v>
      </c>
      <c r="C291" s="2" t="s">
        <v>1160</v>
      </c>
      <c r="D291" s="2" t="s">
        <v>4</v>
      </c>
      <c r="E291" s="2">
        <v>4</v>
      </c>
      <c r="F291" s="2">
        <v>160.49</v>
      </c>
      <c r="G291" s="2" t="s">
        <v>85</v>
      </c>
      <c r="H291" s="2" t="s">
        <v>43</v>
      </c>
      <c r="I291" s="2" t="s">
        <v>30</v>
      </c>
      <c r="J291" s="2" t="s">
        <v>1161</v>
      </c>
      <c r="K291" s="2">
        <v>8</v>
      </c>
      <c r="L291" s="2" t="s">
        <v>87</v>
      </c>
      <c r="M291" s="2" t="s">
        <v>39</v>
      </c>
      <c r="N291" s="2">
        <v>641.96</v>
      </c>
    </row>
    <row r="292" spans="1:14">
      <c r="A292" s="2" t="s">
        <v>1162</v>
      </c>
      <c r="B292" s="2">
        <v>45051</v>
      </c>
      <c r="C292" s="2" t="s">
        <v>1163</v>
      </c>
      <c r="D292" s="2" t="s">
        <v>4</v>
      </c>
      <c r="E292" s="2">
        <v>3</v>
      </c>
      <c r="F292" s="2">
        <v>99.9</v>
      </c>
      <c r="G292" s="2" t="s">
        <v>761</v>
      </c>
      <c r="H292" s="2" t="s">
        <v>71</v>
      </c>
      <c r="I292" s="2" t="s">
        <v>57</v>
      </c>
      <c r="J292" s="2" t="s">
        <v>1164</v>
      </c>
      <c r="K292" s="2">
        <v>8</v>
      </c>
      <c r="L292" s="2" t="s">
        <v>46</v>
      </c>
      <c r="M292" s="2" t="s">
        <v>53</v>
      </c>
      <c r="N292" s="2">
        <v>299.7</v>
      </c>
    </row>
    <row r="293" spans="1:14">
      <c r="A293" s="2" t="s">
        <v>1165</v>
      </c>
      <c r="B293" s="2">
        <v>45424</v>
      </c>
      <c r="C293" s="2" t="s">
        <v>1166</v>
      </c>
      <c r="D293" s="2" t="s">
        <v>8</v>
      </c>
      <c r="E293" s="2">
        <v>2</v>
      </c>
      <c r="F293" s="2">
        <v>345.01</v>
      </c>
      <c r="G293" s="2" t="s">
        <v>1167</v>
      </c>
      <c r="H293" s="2" t="s">
        <v>43</v>
      </c>
      <c r="I293" s="2" t="s">
        <v>57</v>
      </c>
      <c r="J293" s="2" t="s">
        <v>1168</v>
      </c>
      <c r="K293" s="2">
        <v>6</v>
      </c>
      <c r="L293" s="2" t="s">
        <v>46</v>
      </c>
      <c r="M293" s="2" t="s">
        <v>82</v>
      </c>
      <c r="N293" s="2">
        <v>690.02</v>
      </c>
    </row>
    <row r="294" spans="1:14">
      <c r="A294" s="2" t="s">
        <v>1169</v>
      </c>
      <c r="B294" s="2">
        <v>45672</v>
      </c>
      <c r="C294" s="2" t="s">
        <v>1170</v>
      </c>
      <c r="D294" s="2" t="s">
        <v>7</v>
      </c>
      <c r="E294" s="2">
        <v>1</v>
      </c>
      <c r="F294" s="2">
        <v>65.95</v>
      </c>
      <c r="G294" s="2" t="s">
        <v>864</v>
      </c>
      <c r="H294" s="2" t="s">
        <v>43</v>
      </c>
      <c r="I294" s="2" t="s">
        <v>57</v>
      </c>
      <c r="J294" s="2" t="s">
        <v>1171</v>
      </c>
      <c r="K294" s="2">
        <v>5</v>
      </c>
      <c r="L294" s="2" t="s">
        <v>77</v>
      </c>
      <c r="M294" s="2" t="s">
        <v>53</v>
      </c>
      <c r="N294" s="2">
        <v>65.95</v>
      </c>
    </row>
    <row r="295" spans="1:14">
      <c r="A295" s="2" t="s">
        <v>1172</v>
      </c>
      <c r="B295" s="2">
        <v>44973</v>
      </c>
      <c r="C295" s="2" t="s">
        <v>1173</v>
      </c>
      <c r="D295" s="2" t="s">
        <v>10</v>
      </c>
      <c r="E295" s="2">
        <v>4</v>
      </c>
      <c r="F295" s="2">
        <v>463.04</v>
      </c>
      <c r="G295" s="2" t="s">
        <v>1174</v>
      </c>
      <c r="H295" s="2" t="s">
        <v>66</v>
      </c>
      <c r="I295" s="2" t="s">
        <v>51</v>
      </c>
      <c r="J295" s="2" t="s">
        <v>1175</v>
      </c>
      <c r="K295" s="2">
        <v>9</v>
      </c>
      <c r="L295" s="2" t="s">
        <v>77</v>
      </c>
      <c r="M295" s="2" t="s">
        <v>33</v>
      </c>
      <c r="N295" s="2">
        <v>1852.16</v>
      </c>
    </row>
    <row r="296" spans="1:14">
      <c r="A296" s="2" t="s">
        <v>1176</v>
      </c>
      <c r="B296" s="2">
        <v>45748</v>
      </c>
      <c r="C296" s="2" t="s">
        <v>1177</v>
      </c>
      <c r="D296" s="2" t="s">
        <v>8</v>
      </c>
      <c r="E296" s="2">
        <v>2</v>
      </c>
      <c r="F296" s="2">
        <v>297.71</v>
      </c>
      <c r="G296" s="2" t="s">
        <v>1178</v>
      </c>
      <c r="H296" s="2" t="s">
        <v>37</v>
      </c>
      <c r="I296" s="2" t="s">
        <v>30</v>
      </c>
      <c r="J296" s="2" t="s">
        <v>1179</v>
      </c>
      <c r="K296" s="2">
        <v>7</v>
      </c>
      <c r="L296" s="2" t="s">
        <v>32</v>
      </c>
      <c r="M296" s="2" t="s">
        <v>39</v>
      </c>
      <c r="N296" s="2">
        <v>595.42</v>
      </c>
    </row>
    <row r="297" spans="1:14">
      <c r="A297" s="2" t="s">
        <v>1180</v>
      </c>
      <c r="B297" s="2">
        <v>44951</v>
      </c>
      <c r="C297" s="2" t="s">
        <v>1181</v>
      </c>
      <c r="D297" s="2" t="s">
        <v>9</v>
      </c>
      <c r="E297" s="2">
        <v>5</v>
      </c>
      <c r="F297" s="2">
        <v>107.48</v>
      </c>
      <c r="G297" s="2" t="s">
        <v>1182</v>
      </c>
      <c r="H297" s="2" t="s">
        <v>29</v>
      </c>
      <c r="I297" s="2" t="s">
        <v>44</v>
      </c>
      <c r="J297" s="2" t="s">
        <v>1183</v>
      </c>
      <c r="K297" s="2">
        <v>9</v>
      </c>
      <c r="L297" s="2" t="s">
        <v>46</v>
      </c>
      <c r="M297" s="2" t="s">
        <v>47</v>
      </c>
      <c r="N297" s="2">
        <v>537.4</v>
      </c>
    </row>
    <row r="298" spans="1:14">
      <c r="A298" s="2" t="s">
        <v>1184</v>
      </c>
      <c r="B298" s="2">
        <v>45462</v>
      </c>
      <c r="C298" s="2" t="s">
        <v>1185</v>
      </c>
      <c r="D298" s="2" t="s">
        <v>5</v>
      </c>
      <c r="E298" s="2">
        <v>5</v>
      </c>
      <c r="F298" s="2">
        <v>638.8</v>
      </c>
      <c r="G298" s="2" t="s">
        <v>248</v>
      </c>
      <c r="H298" s="2" t="s">
        <v>29</v>
      </c>
      <c r="I298" s="2" t="s">
        <v>44</v>
      </c>
      <c r="J298" s="2" t="s">
        <v>1186</v>
      </c>
      <c r="K298" s="2">
        <v>10</v>
      </c>
      <c r="L298" s="2" t="s">
        <v>87</v>
      </c>
      <c r="M298" s="2" t="s">
        <v>39</v>
      </c>
      <c r="N298" s="2">
        <v>3194</v>
      </c>
    </row>
    <row r="299" spans="1:14">
      <c r="A299" s="2" t="s">
        <v>1187</v>
      </c>
      <c r="B299" s="2">
        <v>44979</v>
      </c>
      <c r="C299" s="2" t="s">
        <v>1188</v>
      </c>
      <c r="D299" s="2" t="s">
        <v>5</v>
      </c>
      <c r="E299" s="2">
        <v>2</v>
      </c>
      <c r="F299" s="2">
        <v>493.88</v>
      </c>
      <c r="G299" s="2" t="s">
        <v>1189</v>
      </c>
      <c r="H299" s="2" t="s">
        <v>43</v>
      </c>
      <c r="I299" s="2" t="s">
        <v>51</v>
      </c>
      <c r="J299" s="2" t="s">
        <v>1190</v>
      </c>
      <c r="K299" s="2">
        <v>7</v>
      </c>
      <c r="L299" s="2" t="s">
        <v>32</v>
      </c>
      <c r="M299" s="2" t="s">
        <v>33</v>
      </c>
      <c r="N299" s="2">
        <v>987.76</v>
      </c>
    </row>
    <row r="300" spans="1:14">
      <c r="A300" s="2" t="s">
        <v>1191</v>
      </c>
      <c r="B300" s="2">
        <v>45279</v>
      </c>
      <c r="C300" s="2" t="s">
        <v>1192</v>
      </c>
      <c r="D300" s="2" t="s">
        <v>9</v>
      </c>
      <c r="E300" s="2">
        <v>4</v>
      </c>
      <c r="F300" s="2">
        <v>301.17</v>
      </c>
      <c r="G300" s="2" t="s">
        <v>207</v>
      </c>
      <c r="H300" s="2" t="s">
        <v>37</v>
      </c>
      <c r="I300" s="2" t="s">
        <v>44</v>
      </c>
      <c r="J300" s="2" t="s">
        <v>1193</v>
      </c>
      <c r="K300" s="2">
        <v>6</v>
      </c>
      <c r="L300" s="2" t="s">
        <v>77</v>
      </c>
      <c r="M300" s="2" t="s">
        <v>47</v>
      </c>
      <c r="N300" s="2">
        <v>1204.68</v>
      </c>
    </row>
    <row r="301" spans="1:14">
      <c r="A301" s="2" t="s">
        <v>1194</v>
      </c>
      <c r="B301" s="2">
        <v>45311</v>
      </c>
      <c r="C301" s="2" t="s">
        <v>1195</v>
      </c>
      <c r="D301" s="2" t="s">
        <v>7</v>
      </c>
      <c r="E301" s="2">
        <v>1</v>
      </c>
      <c r="F301" s="2">
        <v>278.66</v>
      </c>
      <c r="G301" s="2" t="s">
        <v>1196</v>
      </c>
      <c r="H301" s="2" t="s">
        <v>66</v>
      </c>
      <c r="I301" s="2" t="s">
        <v>44</v>
      </c>
      <c r="J301" s="2" t="s">
        <v>1197</v>
      </c>
      <c r="K301" s="2">
        <v>2</v>
      </c>
      <c r="L301" s="2" t="s">
        <v>46</v>
      </c>
      <c r="M301" s="2" t="s">
        <v>33</v>
      </c>
      <c r="N301" s="2">
        <v>278.66</v>
      </c>
    </row>
    <row r="302" spans="1:14">
      <c r="A302" s="2" t="s">
        <v>1198</v>
      </c>
      <c r="B302" s="2">
        <v>45537</v>
      </c>
      <c r="C302" s="2" t="s">
        <v>1199</v>
      </c>
      <c r="D302" s="2" t="s">
        <v>8</v>
      </c>
      <c r="E302" s="2">
        <v>1</v>
      </c>
      <c r="F302" s="2">
        <v>287.46</v>
      </c>
      <c r="G302" s="2" t="s">
        <v>1200</v>
      </c>
      <c r="H302" s="2" t="s">
        <v>29</v>
      </c>
      <c r="I302" s="2" t="s">
        <v>51</v>
      </c>
      <c r="J302" s="2" t="s">
        <v>1201</v>
      </c>
      <c r="K302" s="2">
        <v>3</v>
      </c>
      <c r="L302" s="2" t="s">
        <v>46</v>
      </c>
      <c r="M302" s="2" t="s">
        <v>53</v>
      </c>
      <c r="N302" s="2">
        <v>287.46</v>
      </c>
    </row>
    <row r="303" spans="1:14">
      <c r="A303" s="2" t="s">
        <v>1202</v>
      </c>
      <c r="B303" s="2">
        <v>45057</v>
      </c>
      <c r="C303" s="2" t="s">
        <v>1203</v>
      </c>
      <c r="D303" s="2" t="s">
        <v>4</v>
      </c>
      <c r="E303" s="2">
        <v>1</v>
      </c>
      <c r="F303" s="2">
        <v>583.99</v>
      </c>
      <c r="G303" s="2" t="s">
        <v>1204</v>
      </c>
      <c r="H303" s="2" t="s">
        <v>71</v>
      </c>
      <c r="I303" s="2" t="s">
        <v>44</v>
      </c>
      <c r="J303" s="2" t="s">
        <v>1205</v>
      </c>
      <c r="K303" s="2">
        <v>2</v>
      </c>
      <c r="L303" s="2" t="s">
        <v>32</v>
      </c>
      <c r="M303" s="2" t="s">
        <v>47</v>
      </c>
      <c r="N303" s="2">
        <v>583.99</v>
      </c>
    </row>
    <row r="304" spans="1:14">
      <c r="A304" s="2" t="s">
        <v>1206</v>
      </c>
      <c r="B304" s="2">
        <v>45062</v>
      </c>
      <c r="C304" s="2" t="s">
        <v>1207</v>
      </c>
      <c r="D304" s="2" t="s">
        <v>4</v>
      </c>
      <c r="E304" s="2">
        <v>3</v>
      </c>
      <c r="F304" s="2">
        <v>468.74</v>
      </c>
      <c r="G304" s="2" t="s">
        <v>1208</v>
      </c>
      <c r="H304" s="2" t="s">
        <v>71</v>
      </c>
      <c r="I304" s="2" t="s">
        <v>95</v>
      </c>
      <c r="J304" s="2" t="s">
        <v>1209</v>
      </c>
      <c r="K304" s="2">
        <v>4</v>
      </c>
      <c r="L304" s="2" t="s">
        <v>46</v>
      </c>
      <c r="M304" s="2" t="s">
        <v>33</v>
      </c>
      <c r="N304" s="2">
        <v>1406.22</v>
      </c>
    </row>
    <row r="305" spans="1:14">
      <c r="A305" s="2" t="s">
        <v>1210</v>
      </c>
      <c r="B305" s="2">
        <v>45633</v>
      </c>
      <c r="C305" s="2" t="s">
        <v>1211</v>
      </c>
      <c r="D305" s="2" t="s">
        <v>10</v>
      </c>
      <c r="E305" s="2">
        <v>1</v>
      </c>
      <c r="F305" s="2">
        <v>30.54</v>
      </c>
      <c r="G305" s="2" t="s">
        <v>1212</v>
      </c>
      <c r="H305" s="2" t="s">
        <v>29</v>
      </c>
      <c r="I305" s="2" t="s">
        <v>51</v>
      </c>
      <c r="J305" s="2" t="s">
        <v>1213</v>
      </c>
      <c r="K305" s="2">
        <v>1</v>
      </c>
      <c r="L305" s="2" t="s">
        <v>77</v>
      </c>
      <c r="M305" s="2" t="s">
        <v>82</v>
      </c>
      <c r="N305" s="2">
        <v>30.54</v>
      </c>
    </row>
    <row r="306" spans="1:14">
      <c r="A306" s="2" t="s">
        <v>1214</v>
      </c>
      <c r="B306" s="2">
        <v>45583</v>
      </c>
      <c r="C306" s="2" t="s">
        <v>1215</v>
      </c>
      <c r="D306" s="2" t="s">
        <v>7</v>
      </c>
      <c r="E306" s="2">
        <v>5</v>
      </c>
      <c r="F306" s="2">
        <v>408.73</v>
      </c>
      <c r="G306" s="2" t="s">
        <v>1216</v>
      </c>
      <c r="H306" s="2" t="s">
        <v>66</v>
      </c>
      <c r="I306" s="2" t="s">
        <v>57</v>
      </c>
      <c r="J306" s="2" t="s">
        <v>1217</v>
      </c>
      <c r="K306" s="2">
        <v>10</v>
      </c>
      <c r="L306" s="2" t="s">
        <v>46</v>
      </c>
      <c r="M306" s="2" t="s">
        <v>33</v>
      </c>
      <c r="N306" s="2">
        <v>2043.65</v>
      </c>
    </row>
    <row r="307" spans="1:14">
      <c r="A307" s="2" t="s">
        <v>1218</v>
      </c>
      <c r="B307" s="2">
        <v>45255</v>
      </c>
      <c r="C307" s="2" t="s">
        <v>1219</v>
      </c>
      <c r="D307" s="2" t="s">
        <v>6</v>
      </c>
      <c r="E307" s="2">
        <v>4</v>
      </c>
      <c r="F307" s="2">
        <v>126.89</v>
      </c>
      <c r="G307" s="2" t="s">
        <v>1220</v>
      </c>
      <c r="H307" s="2" t="s">
        <v>71</v>
      </c>
      <c r="I307" s="2" t="s">
        <v>95</v>
      </c>
      <c r="J307" s="2" t="s">
        <v>1221</v>
      </c>
      <c r="K307" s="2">
        <v>9</v>
      </c>
      <c r="L307" s="2" t="s">
        <v>46</v>
      </c>
      <c r="M307" s="2" t="s">
        <v>33</v>
      </c>
      <c r="N307" s="2">
        <v>507.56</v>
      </c>
    </row>
    <row r="308" spans="1:14">
      <c r="A308" s="2" t="s">
        <v>1222</v>
      </c>
      <c r="B308" s="2">
        <v>45450</v>
      </c>
      <c r="C308" s="2" t="s">
        <v>1223</v>
      </c>
      <c r="D308" s="2" t="s">
        <v>9</v>
      </c>
      <c r="E308" s="2">
        <v>2</v>
      </c>
      <c r="F308" s="2">
        <v>57.07</v>
      </c>
      <c r="G308" s="2" t="s">
        <v>1224</v>
      </c>
      <c r="H308" s="2" t="s">
        <v>29</v>
      </c>
      <c r="I308" s="2" t="s">
        <v>51</v>
      </c>
      <c r="J308" s="2" t="s">
        <v>1225</v>
      </c>
      <c r="K308" s="2">
        <v>3</v>
      </c>
      <c r="L308" s="2" t="s">
        <v>32</v>
      </c>
      <c r="M308" s="2" t="s">
        <v>33</v>
      </c>
      <c r="N308" s="2">
        <v>114.14</v>
      </c>
    </row>
    <row r="309" spans="1:14">
      <c r="A309" s="2" t="s">
        <v>1226</v>
      </c>
      <c r="B309" s="2">
        <v>45108</v>
      </c>
      <c r="C309" s="2" t="s">
        <v>1227</v>
      </c>
      <c r="D309" s="2" t="s">
        <v>6</v>
      </c>
      <c r="E309" s="2">
        <v>3</v>
      </c>
      <c r="F309" s="2">
        <v>557.41</v>
      </c>
      <c r="G309" s="2" t="s">
        <v>1228</v>
      </c>
      <c r="H309" s="2" t="s">
        <v>37</v>
      </c>
      <c r="I309" s="2" t="s">
        <v>57</v>
      </c>
      <c r="J309" s="2" t="s">
        <v>1229</v>
      </c>
      <c r="K309" s="2">
        <v>4</v>
      </c>
      <c r="L309" s="2" t="s">
        <v>77</v>
      </c>
      <c r="M309" s="2" t="s">
        <v>47</v>
      </c>
      <c r="N309" s="2">
        <v>1672.23</v>
      </c>
    </row>
    <row r="310" spans="1:14">
      <c r="A310" s="2" t="s">
        <v>1230</v>
      </c>
      <c r="B310" s="2">
        <v>45271</v>
      </c>
      <c r="C310" s="2" t="s">
        <v>1231</v>
      </c>
      <c r="D310" s="2" t="s">
        <v>9</v>
      </c>
      <c r="E310" s="2">
        <v>3</v>
      </c>
      <c r="F310" s="2">
        <v>448.9</v>
      </c>
      <c r="G310" s="2" t="s">
        <v>725</v>
      </c>
      <c r="H310" s="2" t="s">
        <v>29</v>
      </c>
      <c r="I310" s="2" t="s">
        <v>51</v>
      </c>
      <c r="J310" s="2" t="s">
        <v>1232</v>
      </c>
      <c r="K310" s="2">
        <v>7</v>
      </c>
      <c r="L310" s="2" t="s">
        <v>32</v>
      </c>
      <c r="M310" s="2" t="s">
        <v>33</v>
      </c>
      <c r="N310" s="2">
        <v>1346.7</v>
      </c>
    </row>
    <row r="311" spans="1:14">
      <c r="A311" s="2" t="s">
        <v>1233</v>
      </c>
      <c r="B311" s="2">
        <v>45202</v>
      </c>
      <c r="C311" s="2" t="s">
        <v>1234</v>
      </c>
      <c r="D311" s="2" t="s">
        <v>4</v>
      </c>
      <c r="E311" s="2">
        <v>4</v>
      </c>
      <c r="F311" s="2">
        <v>549.76</v>
      </c>
      <c r="G311" s="2" t="s">
        <v>1235</v>
      </c>
      <c r="H311" s="2" t="s">
        <v>29</v>
      </c>
      <c r="I311" s="2" t="s">
        <v>57</v>
      </c>
      <c r="J311" s="2" t="s">
        <v>1236</v>
      </c>
      <c r="K311" s="2">
        <v>4</v>
      </c>
      <c r="L311" s="2" t="s">
        <v>46</v>
      </c>
      <c r="M311" s="2" t="s">
        <v>53</v>
      </c>
      <c r="N311" s="2">
        <v>2199.04</v>
      </c>
    </row>
    <row r="312" spans="1:14">
      <c r="A312" s="2" t="s">
        <v>1237</v>
      </c>
      <c r="B312" s="2">
        <v>45346</v>
      </c>
      <c r="C312" s="2" t="s">
        <v>1238</v>
      </c>
      <c r="D312" s="2" t="s">
        <v>9</v>
      </c>
      <c r="E312" s="2">
        <v>3</v>
      </c>
      <c r="F312" s="2">
        <v>132.48</v>
      </c>
      <c r="G312" s="2" t="s">
        <v>1239</v>
      </c>
      <c r="H312" s="2" t="s">
        <v>37</v>
      </c>
      <c r="I312" s="2" t="s">
        <v>30</v>
      </c>
      <c r="J312" s="2" t="s">
        <v>1240</v>
      </c>
      <c r="K312" s="2">
        <v>4</v>
      </c>
      <c r="L312" s="2" t="s">
        <v>77</v>
      </c>
      <c r="M312" s="2" t="s">
        <v>39</v>
      </c>
      <c r="N312" s="2">
        <v>397.44</v>
      </c>
    </row>
    <row r="313" spans="1:14">
      <c r="A313" s="2" t="s">
        <v>1241</v>
      </c>
      <c r="B313" s="2">
        <v>45794</v>
      </c>
      <c r="C313" s="2" t="s">
        <v>1242</v>
      </c>
      <c r="D313" s="2" t="s">
        <v>5</v>
      </c>
      <c r="E313" s="2">
        <v>5</v>
      </c>
      <c r="F313" s="2">
        <v>489.37</v>
      </c>
      <c r="G313" s="2" t="s">
        <v>1243</v>
      </c>
      <c r="H313" s="2" t="s">
        <v>37</v>
      </c>
      <c r="I313" s="2" t="s">
        <v>51</v>
      </c>
      <c r="J313" s="2" t="s">
        <v>1244</v>
      </c>
      <c r="K313" s="2">
        <v>8</v>
      </c>
      <c r="L313" s="2" t="s">
        <v>77</v>
      </c>
      <c r="M313" s="2" t="s">
        <v>33</v>
      </c>
      <c r="N313" s="2">
        <v>2446.85</v>
      </c>
    </row>
    <row r="314" spans="1:14">
      <c r="A314" s="2" t="s">
        <v>1245</v>
      </c>
      <c r="B314" s="2">
        <v>45801</v>
      </c>
      <c r="C314" s="2" t="s">
        <v>1246</v>
      </c>
      <c r="D314" s="2" t="s">
        <v>9</v>
      </c>
      <c r="E314" s="2">
        <v>5</v>
      </c>
      <c r="F314" s="2">
        <v>66.31</v>
      </c>
      <c r="G314" s="2" t="s">
        <v>927</v>
      </c>
      <c r="H314" s="2" t="s">
        <v>66</v>
      </c>
      <c r="I314" s="2" t="s">
        <v>95</v>
      </c>
      <c r="J314" s="2" t="s">
        <v>1247</v>
      </c>
      <c r="K314" s="2">
        <v>7</v>
      </c>
      <c r="L314" s="2" t="s">
        <v>46</v>
      </c>
      <c r="M314" s="2" t="s">
        <v>39</v>
      </c>
      <c r="N314" s="2">
        <v>331.55</v>
      </c>
    </row>
    <row r="315" spans="1:14">
      <c r="A315" s="2" t="s">
        <v>1248</v>
      </c>
      <c r="B315" s="2">
        <v>45116</v>
      </c>
      <c r="C315" s="2" t="s">
        <v>1249</v>
      </c>
      <c r="D315" s="2" t="s">
        <v>4</v>
      </c>
      <c r="E315" s="2">
        <v>2</v>
      </c>
      <c r="F315" s="2">
        <v>434.3</v>
      </c>
      <c r="G315" s="2" t="s">
        <v>1250</v>
      </c>
      <c r="H315" s="2" t="s">
        <v>71</v>
      </c>
      <c r="I315" s="2" t="s">
        <v>57</v>
      </c>
      <c r="J315" s="2" t="s">
        <v>1251</v>
      </c>
      <c r="K315" s="2">
        <v>7</v>
      </c>
      <c r="L315" s="2" t="s">
        <v>32</v>
      </c>
      <c r="M315" s="2" t="s">
        <v>33</v>
      </c>
      <c r="N315" s="2">
        <v>868.6</v>
      </c>
    </row>
    <row r="316" spans="1:14">
      <c r="A316" s="2" t="s">
        <v>1252</v>
      </c>
      <c r="B316" s="2">
        <v>45203</v>
      </c>
      <c r="C316" s="2" t="s">
        <v>1253</v>
      </c>
      <c r="D316" s="2" t="s">
        <v>5</v>
      </c>
      <c r="E316" s="2">
        <v>4</v>
      </c>
      <c r="F316" s="2">
        <v>153.09</v>
      </c>
      <c r="G316" s="2" t="s">
        <v>1254</v>
      </c>
      <c r="H316" s="2" t="s">
        <v>37</v>
      </c>
      <c r="I316" s="2" t="s">
        <v>57</v>
      </c>
      <c r="J316" s="2" t="s">
        <v>1255</v>
      </c>
      <c r="K316" s="2">
        <v>4</v>
      </c>
      <c r="L316" s="2" t="s">
        <v>46</v>
      </c>
      <c r="M316" s="2" t="s">
        <v>39</v>
      </c>
      <c r="N316" s="2">
        <v>612.36</v>
      </c>
    </row>
    <row r="317" spans="1:14">
      <c r="A317" s="2" t="s">
        <v>1256</v>
      </c>
      <c r="B317" s="2">
        <v>45789</v>
      </c>
      <c r="C317" s="2" t="s">
        <v>1257</v>
      </c>
      <c r="D317" s="2" t="s">
        <v>10</v>
      </c>
      <c r="E317" s="2">
        <v>5</v>
      </c>
      <c r="F317" s="2">
        <v>91.67</v>
      </c>
      <c r="G317" s="2" t="s">
        <v>1258</v>
      </c>
      <c r="H317" s="2" t="s">
        <v>37</v>
      </c>
      <c r="I317" s="2" t="s">
        <v>44</v>
      </c>
      <c r="J317" s="2" t="s">
        <v>1259</v>
      </c>
      <c r="K317" s="2">
        <v>9</v>
      </c>
      <c r="L317" s="2" t="s">
        <v>46</v>
      </c>
      <c r="M317" s="2" t="s">
        <v>47</v>
      </c>
      <c r="N317" s="2">
        <v>458.35</v>
      </c>
    </row>
    <row r="318" spans="1:14">
      <c r="A318" s="2" t="s">
        <v>1260</v>
      </c>
      <c r="B318" s="2">
        <v>45201</v>
      </c>
      <c r="C318" s="2" t="s">
        <v>1261</v>
      </c>
      <c r="D318" s="2" t="s">
        <v>5</v>
      </c>
      <c r="E318" s="2">
        <v>4</v>
      </c>
      <c r="F318" s="2">
        <v>275.28</v>
      </c>
      <c r="G318" s="2" t="s">
        <v>1262</v>
      </c>
      <c r="H318" s="2" t="s">
        <v>66</v>
      </c>
      <c r="I318" s="2" t="s">
        <v>30</v>
      </c>
      <c r="J318" s="2" t="s">
        <v>1263</v>
      </c>
      <c r="K318" s="2">
        <v>9</v>
      </c>
      <c r="L318" s="2" t="s">
        <v>87</v>
      </c>
      <c r="M318" s="2" t="s">
        <v>53</v>
      </c>
      <c r="N318" s="2">
        <v>1101.12</v>
      </c>
    </row>
    <row r="319" spans="1:14">
      <c r="A319" s="2" t="s">
        <v>1264</v>
      </c>
      <c r="B319" s="2">
        <v>45026</v>
      </c>
      <c r="C319" s="2" t="s">
        <v>1265</v>
      </c>
      <c r="D319" s="2" t="s">
        <v>7</v>
      </c>
      <c r="E319" s="2">
        <v>2</v>
      </c>
      <c r="F319" s="2">
        <v>139.95</v>
      </c>
      <c r="G319" s="2" t="s">
        <v>1266</v>
      </c>
      <c r="H319" s="2" t="s">
        <v>37</v>
      </c>
      <c r="I319" s="2" t="s">
        <v>51</v>
      </c>
      <c r="J319" s="2" t="s">
        <v>1267</v>
      </c>
      <c r="K319" s="2">
        <v>5</v>
      </c>
      <c r="L319" s="2" t="s">
        <v>77</v>
      </c>
      <c r="M319" s="2" t="s">
        <v>33</v>
      </c>
      <c r="N319" s="2">
        <v>279.9</v>
      </c>
    </row>
    <row r="320" spans="1:14">
      <c r="A320" s="2" t="s">
        <v>1268</v>
      </c>
      <c r="B320" s="2">
        <v>45500</v>
      </c>
      <c r="C320" s="2" t="s">
        <v>1269</v>
      </c>
      <c r="D320" s="2" t="s">
        <v>4</v>
      </c>
      <c r="E320" s="2">
        <v>3</v>
      </c>
      <c r="F320" s="2">
        <v>148.72</v>
      </c>
      <c r="G320" s="2" t="s">
        <v>872</v>
      </c>
      <c r="H320" s="2" t="s">
        <v>29</v>
      </c>
      <c r="I320" s="2" t="s">
        <v>44</v>
      </c>
      <c r="J320" s="2" t="s">
        <v>1270</v>
      </c>
      <c r="K320" s="2">
        <v>7</v>
      </c>
      <c r="L320" s="2" t="s">
        <v>32</v>
      </c>
      <c r="M320" s="2" t="s">
        <v>82</v>
      </c>
      <c r="N320" s="2">
        <v>446.16</v>
      </c>
    </row>
    <row r="321" spans="1:14">
      <c r="A321" s="2" t="s">
        <v>1271</v>
      </c>
      <c r="B321" s="2">
        <v>45262</v>
      </c>
      <c r="C321" s="2" t="s">
        <v>1272</v>
      </c>
      <c r="D321" s="2" t="s">
        <v>6</v>
      </c>
      <c r="E321" s="2">
        <v>2</v>
      </c>
      <c r="F321" s="2">
        <v>563.06</v>
      </c>
      <c r="G321" s="2" t="s">
        <v>1273</v>
      </c>
      <c r="H321" s="2" t="s">
        <v>71</v>
      </c>
      <c r="I321" s="2" t="s">
        <v>51</v>
      </c>
      <c r="J321" s="2" t="s">
        <v>1274</v>
      </c>
      <c r="K321" s="2">
        <v>6</v>
      </c>
      <c r="L321" s="2" t="s">
        <v>77</v>
      </c>
      <c r="M321" s="2" t="s">
        <v>33</v>
      </c>
      <c r="N321" s="2">
        <v>1126.12</v>
      </c>
    </row>
    <row r="322" spans="1:14">
      <c r="A322" s="2" t="s">
        <v>1275</v>
      </c>
      <c r="B322" s="2">
        <v>45645</v>
      </c>
      <c r="C322" s="2" t="s">
        <v>1276</v>
      </c>
      <c r="D322" s="2" t="s">
        <v>9</v>
      </c>
      <c r="E322" s="2">
        <v>1</v>
      </c>
      <c r="F322" s="2">
        <v>625.51</v>
      </c>
      <c r="G322" s="2" t="s">
        <v>1277</v>
      </c>
      <c r="H322" s="2" t="s">
        <v>43</v>
      </c>
      <c r="I322" s="2" t="s">
        <v>30</v>
      </c>
      <c r="J322" s="2" t="s">
        <v>1278</v>
      </c>
      <c r="K322" s="2">
        <v>1</v>
      </c>
      <c r="L322" s="2" t="s">
        <v>46</v>
      </c>
      <c r="M322" s="2" t="s">
        <v>53</v>
      </c>
      <c r="N322" s="2">
        <v>625.51</v>
      </c>
    </row>
    <row r="323" spans="1:14">
      <c r="A323" s="2" t="s">
        <v>1279</v>
      </c>
      <c r="B323" s="2">
        <v>45147</v>
      </c>
      <c r="C323" s="2" t="s">
        <v>1280</v>
      </c>
      <c r="D323" s="2" t="s">
        <v>8</v>
      </c>
      <c r="E323" s="2">
        <v>4</v>
      </c>
      <c r="F323" s="2">
        <v>152.29</v>
      </c>
      <c r="G323" s="2" t="s">
        <v>1228</v>
      </c>
      <c r="H323" s="2" t="s">
        <v>29</v>
      </c>
      <c r="I323" s="2" t="s">
        <v>44</v>
      </c>
      <c r="J323" s="2" t="s">
        <v>1281</v>
      </c>
      <c r="K323" s="2">
        <v>6</v>
      </c>
      <c r="L323" s="2" t="s">
        <v>87</v>
      </c>
      <c r="M323" s="2" t="s">
        <v>82</v>
      </c>
      <c r="N323" s="2">
        <v>609.16</v>
      </c>
    </row>
    <row r="324" spans="1:14">
      <c r="A324" s="2" t="s">
        <v>1282</v>
      </c>
      <c r="B324" s="2">
        <v>45457</v>
      </c>
      <c r="C324" s="2" t="s">
        <v>1283</v>
      </c>
      <c r="D324" s="2" t="s">
        <v>8</v>
      </c>
      <c r="E324" s="2">
        <v>5</v>
      </c>
      <c r="F324" s="2">
        <v>231.82</v>
      </c>
      <c r="G324" s="2" t="s">
        <v>1266</v>
      </c>
      <c r="H324" s="2" t="s">
        <v>29</v>
      </c>
      <c r="I324" s="2" t="s">
        <v>57</v>
      </c>
      <c r="J324" s="2" t="s">
        <v>1284</v>
      </c>
      <c r="K324" s="2">
        <v>6</v>
      </c>
      <c r="L324" s="2" t="s">
        <v>32</v>
      </c>
      <c r="M324" s="2" t="s">
        <v>53</v>
      </c>
      <c r="N324" s="2">
        <v>1159.1</v>
      </c>
    </row>
    <row r="325" spans="1:14">
      <c r="A325" s="2" t="s">
        <v>1285</v>
      </c>
      <c r="B325" s="2">
        <v>45683</v>
      </c>
      <c r="C325" s="2" t="s">
        <v>1286</v>
      </c>
      <c r="D325" s="2" t="s">
        <v>6</v>
      </c>
      <c r="E325" s="2">
        <v>1</v>
      </c>
      <c r="F325" s="2">
        <v>150.17</v>
      </c>
      <c r="G325" s="2" t="s">
        <v>1287</v>
      </c>
      <c r="H325" s="2" t="s">
        <v>29</v>
      </c>
      <c r="I325" s="2" t="s">
        <v>51</v>
      </c>
      <c r="J325" s="2" t="s">
        <v>1288</v>
      </c>
      <c r="K325" s="2">
        <v>1</v>
      </c>
      <c r="L325" s="2" t="s">
        <v>32</v>
      </c>
      <c r="M325" s="2" t="s">
        <v>39</v>
      </c>
      <c r="N325" s="2">
        <v>150.17</v>
      </c>
    </row>
    <row r="326" spans="1:14">
      <c r="A326" s="2" t="s">
        <v>1289</v>
      </c>
      <c r="B326" s="2">
        <v>45456</v>
      </c>
      <c r="C326" s="2" t="s">
        <v>1290</v>
      </c>
      <c r="D326" s="2" t="s">
        <v>10</v>
      </c>
      <c r="E326" s="2">
        <v>3</v>
      </c>
      <c r="F326" s="2">
        <v>70.93</v>
      </c>
      <c r="G326" s="2" t="s">
        <v>1291</v>
      </c>
      <c r="H326" s="2" t="s">
        <v>29</v>
      </c>
      <c r="I326" s="2" t="s">
        <v>51</v>
      </c>
      <c r="J326" s="2" t="s">
        <v>1292</v>
      </c>
      <c r="K326" s="2">
        <v>5</v>
      </c>
      <c r="L326" s="2" t="s">
        <v>77</v>
      </c>
      <c r="M326" s="2" t="s">
        <v>39</v>
      </c>
      <c r="N326" s="2">
        <v>212.79</v>
      </c>
    </row>
    <row r="327" spans="1:14">
      <c r="A327" s="2" t="s">
        <v>1293</v>
      </c>
      <c r="B327" s="2">
        <v>45106</v>
      </c>
      <c r="C327" s="2" t="s">
        <v>1294</v>
      </c>
      <c r="D327" s="2" t="s">
        <v>5</v>
      </c>
      <c r="E327" s="2">
        <v>3</v>
      </c>
      <c r="F327" s="2">
        <v>361.39</v>
      </c>
      <c r="G327" s="2" t="s">
        <v>1295</v>
      </c>
      <c r="H327" s="2" t="s">
        <v>43</v>
      </c>
      <c r="I327" s="2" t="s">
        <v>30</v>
      </c>
      <c r="J327" s="2" t="s">
        <v>1296</v>
      </c>
      <c r="K327" s="2">
        <v>8</v>
      </c>
      <c r="L327" s="2" t="s">
        <v>77</v>
      </c>
      <c r="M327" s="2" t="s">
        <v>39</v>
      </c>
      <c r="N327" s="2">
        <v>1084.17</v>
      </c>
    </row>
    <row r="328" spans="1:14">
      <c r="A328" s="2" t="s">
        <v>1297</v>
      </c>
      <c r="B328" s="2">
        <v>45474</v>
      </c>
      <c r="C328" s="2" t="s">
        <v>1298</v>
      </c>
      <c r="D328" s="2" t="s">
        <v>6</v>
      </c>
      <c r="E328" s="2">
        <v>5</v>
      </c>
      <c r="F328" s="2">
        <v>670.48</v>
      </c>
      <c r="G328" s="2" t="s">
        <v>123</v>
      </c>
      <c r="H328" s="2" t="s">
        <v>66</v>
      </c>
      <c r="I328" s="2" t="s">
        <v>51</v>
      </c>
      <c r="J328" s="2" t="s">
        <v>1299</v>
      </c>
      <c r="K328" s="2">
        <v>5</v>
      </c>
      <c r="L328" s="2" t="s">
        <v>32</v>
      </c>
      <c r="M328" s="2" t="s">
        <v>53</v>
      </c>
      <c r="N328" s="2">
        <v>3352.4</v>
      </c>
    </row>
    <row r="329" spans="1:14">
      <c r="A329" s="2" t="s">
        <v>1300</v>
      </c>
      <c r="B329" s="2">
        <v>45132</v>
      </c>
      <c r="C329" s="2" t="s">
        <v>1301</v>
      </c>
      <c r="D329" s="2" t="s">
        <v>8</v>
      </c>
      <c r="E329" s="2">
        <v>1</v>
      </c>
      <c r="F329" s="2">
        <v>359.99</v>
      </c>
      <c r="G329" s="2" t="s">
        <v>303</v>
      </c>
      <c r="H329" s="2" t="s">
        <v>66</v>
      </c>
      <c r="I329" s="2" t="s">
        <v>44</v>
      </c>
      <c r="J329" s="2" t="s">
        <v>1302</v>
      </c>
      <c r="K329" s="2">
        <v>5</v>
      </c>
      <c r="L329" s="2" t="s">
        <v>32</v>
      </c>
      <c r="M329" s="2" t="s">
        <v>47</v>
      </c>
      <c r="N329" s="2">
        <v>359.99</v>
      </c>
    </row>
    <row r="330" spans="1:14">
      <c r="A330" s="2" t="s">
        <v>1303</v>
      </c>
      <c r="B330" s="2">
        <v>44985</v>
      </c>
      <c r="C330" s="2" t="s">
        <v>1304</v>
      </c>
      <c r="D330" s="2" t="s">
        <v>10</v>
      </c>
      <c r="E330" s="2">
        <v>5</v>
      </c>
      <c r="F330" s="2">
        <v>674.04</v>
      </c>
      <c r="G330" s="2" t="s">
        <v>1305</v>
      </c>
      <c r="H330" s="2" t="s">
        <v>37</v>
      </c>
      <c r="I330" s="2" t="s">
        <v>44</v>
      </c>
      <c r="J330" s="2" t="s">
        <v>1306</v>
      </c>
      <c r="K330" s="2">
        <v>7</v>
      </c>
      <c r="L330" s="2" t="s">
        <v>32</v>
      </c>
      <c r="M330" s="2" t="s">
        <v>82</v>
      </c>
      <c r="N330" s="2">
        <v>3370.2</v>
      </c>
    </row>
    <row r="331" spans="1:14">
      <c r="A331" s="2" t="s">
        <v>1307</v>
      </c>
      <c r="B331" s="2">
        <v>45651</v>
      </c>
      <c r="C331" s="2" t="s">
        <v>1308</v>
      </c>
      <c r="D331" s="2" t="s">
        <v>4</v>
      </c>
      <c r="E331" s="2">
        <v>4</v>
      </c>
      <c r="F331" s="2">
        <v>283.16</v>
      </c>
      <c r="G331" s="2" t="s">
        <v>994</v>
      </c>
      <c r="H331" s="2" t="s">
        <v>43</v>
      </c>
      <c r="I331" s="2" t="s">
        <v>30</v>
      </c>
      <c r="J331" s="2" t="s">
        <v>1309</v>
      </c>
      <c r="K331" s="2">
        <v>6</v>
      </c>
      <c r="L331" s="2" t="s">
        <v>77</v>
      </c>
      <c r="M331" s="2" t="s">
        <v>82</v>
      </c>
      <c r="N331" s="2">
        <v>1132.64</v>
      </c>
    </row>
    <row r="332" spans="1:14">
      <c r="A332" s="2" t="s">
        <v>1310</v>
      </c>
      <c r="B332" s="2">
        <v>45445</v>
      </c>
      <c r="C332" s="2" t="s">
        <v>1311</v>
      </c>
      <c r="D332" s="2" t="s">
        <v>5</v>
      </c>
      <c r="E332" s="2">
        <v>5</v>
      </c>
      <c r="F332" s="2">
        <v>260.53</v>
      </c>
      <c r="G332" s="2" t="s">
        <v>1312</v>
      </c>
      <c r="H332" s="2" t="s">
        <v>66</v>
      </c>
      <c r="I332" s="2" t="s">
        <v>95</v>
      </c>
      <c r="J332" s="2" t="s">
        <v>1313</v>
      </c>
      <c r="K332" s="2">
        <v>5</v>
      </c>
      <c r="L332" s="2" t="s">
        <v>32</v>
      </c>
      <c r="M332" s="2" t="s">
        <v>33</v>
      </c>
      <c r="N332" s="2">
        <v>1302.65</v>
      </c>
    </row>
    <row r="333" spans="1:14">
      <c r="A333" s="2" t="s">
        <v>1314</v>
      </c>
      <c r="B333" s="2">
        <v>45031</v>
      </c>
      <c r="C333" s="2" t="s">
        <v>1315</v>
      </c>
      <c r="D333" s="2" t="s">
        <v>9</v>
      </c>
      <c r="E333" s="2">
        <v>3</v>
      </c>
      <c r="F333" s="2">
        <v>422.13</v>
      </c>
      <c r="G333" s="2" t="s">
        <v>516</v>
      </c>
      <c r="H333" s="2" t="s">
        <v>37</v>
      </c>
      <c r="I333" s="2" t="s">
        <v>57</v>
      </c>
      <c r="J333" s="2" t="s">
        <v>1316</v>
      </c>
      <c r="K333" s="2">
        <v>7</v>
      </c>
      <c r="L333" s="2" t="s">
        <v>32</v>
      </c>
      <c r="M333" s="2" t="s">
        <v>53</v>
      </c>
      <c r="N333" s="2">
        <v>1266.39</v>
      </c>
    </row>
    <row r="334" spans="1:14">
      <c r="A334" s="2" t="s">
        <v>1317</v>
      </c>
      <c r="B334" s="2">
        <v>45476</v>
      </c>
      <c r="C334" s="2" t="s">
        <v>1318</v>
      </c>
      <c r="D334" s="2" t="s">
        <v>5</v>
      </c>
      <c r="E334" s="2">
        <v>5</v>
      </c>
      <c r="F334" s="2">
        <v>125.02</v>
      </c>
      <c r="G334" s="2" t="s">
        <v>1319</v>
      </c>
      <c r="H334" s="2" t="s">
        <v>29</v>
      </c>
      <c r="I334" s="2" t="s">
        <v>95</v>
      </c>
      <c r="J334" s="2" t="s">
        <v>1320</v>
      </c>
      <c r="K334" s="2">
        <v>9</v>
      </c>
      <c r="L334" s="2" t="s">
        <v>32</v>
      </c>
      <c r="M334" s="2" t="s">
        <v>82</v>
      </c>
      <c r="N334" s="2">
        <v>625.1</v>
      </c>
    </row>
    <row r="335" spans="1:14">
      <c r="A335" s="2" t="s">
        <v>1321</v>
      </c>
      <c r="B335" s="2">
        <v>45398</v>
      </c>
      <c r="C335" s="2" t="s">
        <v>1322</v>
      </c>
      <c r="D335" s="2" t="s">
        <v>8</v>
      </c>
      <c r="E335" s="2">
        <v>1</v>
      </c>
      <c r="F335" s="2">
        <v>198.51</v>
      </c>
      <c r="G335" s="2" t="s">
        <v>1323</v>
      </c>
      <c r="H335" s="2" t="s">
        <v>43</v>
      </c>
      <c r="I335" s="2" t="s">
        <v>51</v>
      </c>
      <c r="J335" s="2" t="s">
        <v>1324</v>
      </c>
      <c r="K335" s="2">
        <v>5</v>
      </c>
      <c r="L335" s="2" t="s">
        <v>87</v>
      </c>
      <c r="M335" s="2" t="s">
        <v>33</v>
      </c>
      <c r="N335" s="2">
        <v>198.51</v>
      </c>
    </row>
    <row r="336" spans="1:14">
      <c r="A336" s="2" t="s">
        <v>1325</v>
      </c>
      <c r="B336" s="2">
        <v>45377</v>
      </c>
      <c r="C336" s="2" t="s">
        <v>1326</v>
      </c>
      <c r="D336" s="2" t="s">
        <v>4</v>
      </c>
      <c r="E336" s="2">
        <v>4</v>
      </c>
      <c r="F336" s="2">
        <v>224.75</v>
      </c>
      <c r="G336" s="2" t="s">
        <v>1327</v>
      </c>
      <c r="H336" s="2" t="s">
        <v>37</v>
      </c>
      <c r="I336" s="2" t="s">
        <v>57</v>
      </c>
      <c r="J336" s="2" t="s">
        <v>1328</v>
      </c>
      <c r="K336" s="2">
        <v>7</v>
      </c>
      <c r="L336" s="2" t="s">
        <v>87</v>
      </c>
      <c r="M336" s="2" t="s">
        <v>53</v>
      </c>
      <c r="N336" s="2">
        <v>899</v>
      </c>
    </row>
    <row r="337" spans="1:14">
      <c r="A337" s="2" t="s">
        <v>1329</v>
      </c>
      <c r="B337" s="2">
        <v>45719</v>
      </c>
      <c r="C337" s="2" t="s">
        <v>1330</v>
      </c>
      <c r="D337" s="2" t="s">
        <v>10</v>
      </c>
      <c r="E337" s="2">
        <v>3</v>
      </c>
      <c r="F337" s="2">
        <v>205.86</v>
      </c>
      <c r="G337" s="2" t="s">
        <v>1250</v>
      </c>
      <c r="H337" s="2" t="s">
        <v>66</v>
      </c>
      <c r="I337" s="2" t="s">
        <v>30</v>
      </c>
      <c r="J337" s="2" t="s">
        <v>1331</v>
      </c>
      <c r="K337" s="2">
        <v>4</v>
      </c>
      <c r="L337" s="2" t="s">
        <v>77</v>
      </c>
      <c r="M337" s="2" t="s">
        <v>47</v>
      </c>
      <c r="N337" s="2">
        <v>617.58</v>
      </c>
    </row>
    <row r="338" spans="1:14">
      <c r="A338" s="2" t="s">
        <v>1332</v>
      </c>
      <c r="B338" s="2">
        <v>45289</v>
      </c>
      <c r="C338" s="2" t="s">
        <v>1333</v>
      </c>
      <c r="D338" s="2" t="s">
        <v>6</v>
      </c>
      <c r="E338" s="2">
        <v>1</v>
      </c>
      <c r="F338" s="2">
        <v>18.2</v>
      </c>
      <c r="G338" s="2" t="s">
        <v>1334</v>
      </c>
      <c r="H338" s="2" t="s">
        <v>29</v>
      </c>
      <c r="I338" s="2" t="s">
        <v>95</v>
      </c>
      <c r="J338" s="2" t="s">
        <v>1335</v>
      </c>
      <c r="K338" s="2">
        <v>4</v>
      </c>
      <c r="L338" s="2" t="s">
        <v>32</v>
      </c>
      <c r="M338" s="2" t="s">
        <v>33</v>
      </c>
      <c r="N338" s="2">
        <v>18.2</v>
      </c>
    </row>
    <row r="339" spans="1:14">
      <c r="A339" s="2" t="s">
        <v>1336</v>
      </c>
      <c r="B339" s="2">
        <v>45075</v>
      </c>
      <c r="C339" s="2" t="s">
        <v>1337</v>
      </c>
      <c r="D339" s="2" t="s">
        <v>10</v>
      </c>
      <c r="E339" s="2">
        <v>3</v>
      </c>
      <c r="F339" s="2">
        <v>502.77</v>
      </c>
      <c r="G339" s="2" t="s">
        <v>1338</v>
      </c>
      <c r="H339" s="2" t="s">
        <v>29</v>
      </c>
      <c r="I339" s="2" t="s">
        <v>51</v>
      </c>
      <c r="J339" s="2" t="s">
        <v>1339</v>
      </c>
      <c r="K339" s="2">
        <v>8</v>
      </c>
      <c r="L339" s="2" t="s">
        <v>87</v>
      </c>
      <c r="M339" s="2" t="s">
        <v>47</v>
      </c>
      <c r="N339" s="2">
        <v>1508.31</v>
      </c>
    </row>
    <row r="340" spans="1:14">
      <c r="A340" s="2" t="s">
        <v>1340</v>
      </c>
      <c r="B340" s="2">
        <v>45238</v>
      </c>
      <c r="C340" s="2" t="s">
        <v>1341</v>
      </c>
      <c r="D340" s="2" t="s">
        <v>8</v>
      </c>
      <c r="E340" s="2">
        <v>5</v>
      </c>
      <c r="F340" s="2">
        <v>305.49</v>
      </c>
      <c r="G340" s="2" t="s">
        <v>1342</v>
      </c>
      <c r="H340" s="2" t="s">
        <v>29</v>
      </c>
      <c r="I340" s="2" t="s">
        <v>30</v>
      </c>
      <c r="J340" s="2" t="s">
        <v>1343</v>
      </c>
      <c r="K340" s="2">
        <v>10</v>
      </c>
      <c r="L340" s="2" t="s">
        <v>77</v>
      </c>
      <c r="M340" s="2" t="s">
        <v>39</v>
      </c>
      <c r="N340" s="2">
        <v>1527.45</v>
      </c>
    </row>
    <row r="341" spans="1:14">
      <c r="A341" s="2" t="s">
        <v>1344</v>
      </c>
      <c r="B341" s="2">
        <v>45392</v>
      </c>
      <c r="C341" s="2" t="s">
        <v>1345</v>
      </c>
      <c r="D341" s="2" t="s">
        <v>9</v>
      </c>
      <c r="E341" s="2">
        <v>2</v>
      </c>
      <c r="F341" s="2">
        <v>236.33</v>
      </c>
      <c r="G341" s="2" t="s">
        <v>1346</v>
      </c>
      <c r="H341" s="2" t="s">
        <v>37</v>
      </c>
      <c r="I341" s="2" t="s">
        <v>95</v>
      </c>
      <c r="J341" s="2" t="s">
        <v>1347</v>
      </c>
      <c r="K341" s="2">
        <v>3</v>
      </c>
      <c r="L341" s="2" t="s">
        <v>32</v>
      </c>
      <c r="M341" s="2" t="s">
        <v>33</v>
      </c>
      <c r="N341" s="2">
        <v>472.66</v>
      </c>
    </row>
    <row r="342" spans="1:14">
      <c r="A342" s="2" t="s">
        <v>1348</v>
      </c>
      <c r="B342" s="2">
        <v>45039</v>
      </c>
      <c r="C342" s="2" t="s">
        <v>1349</v>
      </c>
      <c r="D342" s="2" t="s">
        <v>6</v>
      </c>
      <c r="E342" s="2">
        <v>5</v>
      </c>
      <c r="F342" s="2">
        <v>521.25</v>
      </c>
      <c r="G342" s="2" t="s">
        <v>1350</v>
      </c>
      <c r="H342" s="2" t="s">
        <v>71</v>
      </c>
      <c r="I342" s="2" t="s">
        <v>44</v>
      </c>
      <c r="J342" s="2" t="s">
        <v>1351</v>
      </c>
      <c r="K342" s="2">
        <v>8</v>
      </c>
      <c r="L342" s="2" t="s">
        <v>77</v>
      </c>
      <c r="M342" s="2" t="s">
        <v>47</v>
      </c>
      <c r="N342" s="2">
        <v>2606.25</v>
      </c>
    </row>
    <row r="343" spans="1:14">
      <c r="A343" s="2" t="s">
        <v>1352</v>
      </c>
      <c r="B343" s="2">
        <v>45558</v>
      </c>
      <c r="C343" s="2" t="s">
        <v>1353</v>
      </c>
      <c r="D343" s="2" t="s">
        <v>10</v>
      </c>
      <c r="E343" s="2">
        <v>1</v>
      </c>
      <c r="F343" s="2">
        <v>167.15</v>
      </c>
      <c r="G343" s="2" t="s">
        <v>1354</v>
      </c>
      <c r="H343" s="2" t="s">
        <v>66</v>
      </c>
      <c r="I343" s="2" t="s">
        <v>30</v>
      </c>
      <c r="J343" s="2" t="s">
        <v>1355</v>
      </c>
      <c r="K343" s="2">
        <v>5</v>
      </c>
      <c r="L343" s="2" t="s">
        <v>87</v>
      </c>
      <c r="M343" s="2" t="s">
        <v>47</v>
      </c>
      <c r="N343" s="2">
        <v>167.15</v>
      </c>
    </row>
    <row r="344" spans="1:14">
      <c r="A344" s="2" t="s">
        <v>1356</v>
      </c>
      <c r="B344" s="2">
        <v>45832</v>
      </c>
      <c r="C344" s="2" t="s">
        <v>1357</v>
      </c>
      <c r="D344" s="2" t="s">
        <v>7</v>
      </c>
      <c r="E344" s="2">
        <v>5</v>
      </c>
      <c r="F344" s="2">
        <v>466.42</v>
      </c>
      <c r="G344" s="2" t="s">
        <v>1358</v>
      </c>
      <c r="H344" s="2" t="s">
        <v>66</v>
      </c>
      <c r="I344" s="2" t="s">
        <v>51</v>
      </c>
      <c r="J344" s="2" t="s">
        <v>1359</v>
      </c>
      <c r="K344" s="2">
        <v>5</v>
      </c>
      <c r="L344" s="2" t="s">
        <v>77</v>
      </c>
      <c r="M344" s="2" t="s">
        <v>39</v>
      </c>
      <c r="N344" s="2">
        <v>2332.1</v>
      </c>
    </row>
    <row r="345" spans="1:14">
      <c r="A345" s="2" t="s">
        <v>1360</v>
      </c>
      <c r="B345" s="2">
        <v>44983</v>
      </c>
      <c r="C345" s="2" t="s">
        <v>1361</v>
      </c>
      <c r="D345" s="2" t="s">
        <v>9</v>
      </c>
      <c r="E345" s="2">
        <v>1</v>
      </c>
      <c r="F345" s="2">
        <v>527.57</v>
      </c>
      <c r="G345" s="2" t="s">
        <v>1362</v>
      </c>
      <c r="H345" s="2" t="s">
        <v>29</v>
      </c>
      <c r="I345" s="2" t="s">
        <v>95</v>
      </c>
      <c r="J345" s="2" t="s">
        <v>1363</v>
      </c>
      <c r="K345" s="2">
        <v>3</v>
      </c>
      <c r="L345" s="2" t="s">
        <v>46</v>
      </c>
      <c r="M345" s="2" t="s">
        <v>53</v>
      </c>
      <c r="N345" s="2">
        <v>527.57</v>
      </c>
    </row>
    <row r="346" spans="1:14">
      <c r="A346" s="2" t="s">
        <v>1364</v>
      </c>
      <c r="B346" s="2">
        <v>45722</v>
      </c>
      <c r="C346" s="2" t="s">
        <v>1365</v>
      </c>
      <c r="D346" s="2" t="s">
        <v>10</v>
      </c>
      <c r="E346" s="2">
        <v>3</v>
      </c>
      <c r="F346" s="2">
        <v>623.34</v>
      </c>
      <c r="G346" s="2" t="s">
        <v>1366</v>
      </c>
      <c r="H346" s="2" t="s">
        <v>37</v>
      </c>
      <c r="I346" s="2" t="s">
        <v>44</v>
      </c>
      <c r="J346" s="2" t="s">
        <v>1367</v>
      </c>
      <c r="K346" s="2">
        <v>3</v>
      </c>
      <c r="L346" s="2" t="s">
        <v>32</v>
      </c>
      <c r="M346" s="2" t="s">
        <v>33</v>
      </c>
      <c r="N346" s="2">
        <v>1870.02</v>
      </c>
    </row>
    <row r="347" spans="1:14">
      <c r="A347" s="2" t="s">
        <v>1368</v>
      </c>
      <c r="B347" s="2">
        <v>45267</v>
      </c>
      <c r="C347" s="2" t="s">
        <v>1369</v>
      </c>
      <c r="D347" s="2" t="s">
        <v>10</v>
      </c>
      <c r="E347" s="2">
        <v>5</v>
      </c>
      <c r="F347" s="2">
        <v>501.26</v>
      </c>
      <c r="G347" s="2" t="s">
        <v>1370</v>
      </c>
      <c r="H347" s="2" t="s">
        <v>66</v>
      </c>
      <c r="I347" s="2" t="s">
        <v>30</v>
      </c>
      <c r="J347" s="2" t="s">
        <v>1371</v>
      </c>
      <c r="K347" s="2">
        <v>10</v>
      </c>
      <c r="L347" s="2" t="s">
        <v>46</v>
      </c>
      <c r="M347" s="2" t="s">
        <v>39</v>
      </c>
      <c r="N347" s="2">
        <v>2506.3</v>
      </c>
    </row>
    <row r="348" spans="1:14">
      <c r="A348" s="2" t="s">
        <v>1372</v>
      </c>
      <c r="B348" s="2">
        <v>45632</v>
      </c>
      <c r="C348" s="2" t="s">
        <v>1373</v>
      </c>
      <c r="D348" s="2" t="s">
        <v>10</v>
      </c>
      <c r="E348" s="2">
        <v>1</v>
      </c>
      <c r="F348" s="2">
        <v>655.09</v>
      </c>
      <c r="G348" s="2" t="s">
        <v>1374</v>
      </c>
      <c r="H348" s="2" t="s">
        <v>71</v>
      </c>
      <c r="I348" s="2" t="s">
        <v>95</v>
      </c>
      <c r="J348" s="2" t="s">
        <v>1375</v>
      </c>
      <c r="K348" s="2">
        <v>6</v>
      </c>
      <c r="L348" s="2" t="s">
        <v>77</v>
      </c>
      <c r="M348" s="2" t="s">
        <v>39</v>
      </c>
      <c r="N348" s="2">
        <v>655.09</v>
      </c>
    </row>
    <row r="349" spans="1:14">
      <c r="A349" s="2" t="s">
        <v>1376</v>
      </c>
      <c r="B349" s="2">
        <v>45325</v>
      </c>
      <c r="C349" s="2" t="s">
        <v>1377</v>
      </c>
      <c r="D349" s="2" t="s">
        <v>9</v>
      </c>
      <c r="E349" s="2">
        <v>4</v>
      </c>
      <c r="F349" s="2">
        <v>264.79</v>
      </c>
      <c r="G349" s="2" t="s">
        <v>1378</v>
      </c>
      <c r="H349" s="2" t="s">
        <v>43</v>
      </c>
      <c r="I349" s="2" t="s">
        <v>95</v>
      </c>
      <c r="J349" s="2" t="s">
        <v>1379</v>
      </c>
      <c r="K349" s="2">
        <v>5</v>
      </c>
      <c r="L349" s="2" t="s">
        <v>32</v>
      </c>
      <c r="M349" s="2" t="s">
        <v>82</v>
      </c>
      <c r="N349" s="2">
        <v>1059.16</v>
      </c>
    </row>
    <row r="350" spans="1:14">
      <c r="A350" s="2" t="s">
        <v>1380</v>
      </c>
      <c r="B350" s="2">
        <v>45364</v>
      </c>
      <c r="C350" s="2" t="s">
        <v>1381</v>
      </c>
      <c r="D350" s="2" t="s">
        <v>6</v>
      </c>
      <c r="E350" s="2">
        <v>3</v>
      </c>
      <c r="F350" s="2">
        <v>359.73</v>
      </c>
      <c r="G350" s="2" t="s">
        <v>1382</v>
      </c>
      <c r="H350" s="2" t="s">
        <v>29</v>
      </c>
      <c r="I350" s="2" t="s">
        <v>51</v>
      </c>
      <c r="J350" s="2" t="s">
        <v>1383</v>
      </c>
      <c r="K350" s="2">
        <v>7</v>
      </c>
      <c r="L350" s="2" t="s">
        <v>46</v>
      </c>
      <c r="M350" s="2" t="s">
        <v>47</v>
      </c>
      <c r="N350" s="2">
        <v>1079.19</v>
      </c>
    </row>
    <row r="351" spans="1:14">
      <c r="A351" s="2" t="s">
        <v>1384</v>
      </c>
      <c r="B351" s="2">
        <v>45260</v>
      </c>
      <c r="C351" s="2" t="s">
        <v>1385</v>
      </c>
      <c r="D351" s="2" t="s">
        <v>4</v>
      </c>
      <c r="E351" s="2">
        <v>1</v>
      </c>
      <c r="F351" s="2">
        <v>465.33</v>
      </c>
      <c r="G351" s="2" t="s">
        <v>1386</v>
      </c>
      <c r="H351" s="2" t="s">
        <v>66</v>
      </c>
      <c r="I351" s="2" t="s">
        <v>57</v>
      </c>
      <c r="J351" s="2" t="s">
        <v>1387</v>
      </c>
      <c r="K351" s="2">
        <v>2</v>
      </c>
      <c r="L351" s="2" t="s">
        <v>46</v>
      </c>
      <c r="M351" s="2" t="s">
        <v>82</v>
      </c>
      <c r="N351" s="2">
        <v>465.33</v>
      </c>
    </row>
    <row r="352" spans="1:14">
      <c r="A352" s="2" t="s">
        <v>1388</v>
      </c>
      <c r="B352" s="2">
        <v>45080</v>
      </c>
      <c r="C352" s="2" t="s">
        <v>1389</v>
      </c>
      <c r="D352" s="2" t="s">
        <v>4</v>
      </c>
      <c r="E352" s="2">
        <v>2</v>
      </c>
      <c r="F352" s="2">
        <v>54.41</v>
      </c>
      <c r="G352" s="2" t="s">
        <v>1390</v>
      </c>
      <c r="H352" s="2" t="s">
        <v>37</v>
      </c>
      <c r="I352" s="2" t="s">
        <v>30</v>
      </c>
      <c r="J352" s="2" t="s">
        <v>1391</v>
      </c>
      <c r="K352" s="2">
        <v>6</v>
      </c>
      <c r="L352" s="2" t="s">
        <v>77</v>
      </c>
      <c r="M352" s="2" t="s">
        <v>33</v>
      </c>
      <c r="N352" s="2">
        <v>108.82</v>
      </c>
    </row>
    <row r="353" spans="1:14">
      <c r="A353" s="2" t="s">
        <v>1392</v>
      </c>
      <c r="B353" s="2">
        <v>45703</v>
      </c>
      <c r="C353" s="2" t="s">
        <v>1393</v>
      </c>
      <c r="D353" s="2" t="s">
        <v>6</v>
      </c>
      <c r="E353" s="2">
        <v>1</v>
      </c>
      <c r="F353" s="2">
        <v>64.66</v>
      </c>
      <c r="G353" s="2" t="s">
        <v>1394</v>
      </c>
      <c r="H353" s="2" t="s">
        <v>29</v>
      </c>
      <c r="I353" s="2" t="s">
        <v>57</v>
      </c>
      <c r="J353" s="2" t="s">
        <v>1395</v>
      </c>
      <c r="K353" s="2">
        <v>4</v>
      </c>
      <c r="L353" s="2" t="s">
        <v>77</v>
      </c>
      <c r="M353" s="2" t="s">
        <v>33</v>
      </c>
      <c r="N353" s="2">
        <v>64.66</v>
      </c>
    </row>
    <row r="354" spans="1:14">
      <c r="A354" s="2" t="s">
        <v>1396</v>
      </c>
      <c r="B354" s="2">
        <v>45169</v>
      </c>
      <c r="C354" s="2" t="s">
        <v>1397</v>
      </c>
      <c r="D354" s="2" t="s">
        <v>4</v>
      </c>
      <c r="E354" s="2">
        <v>5</v>
      </c>
      <c r="F354" s="2">
        <v>173.96</v>
      </c>
      <c r="G354" s="2" t="s">
        <v>1398</v>
      </c>
      <c r="H354" s="2" t="s">
        <v>29</v>
      </c>
      <c r="I354" s="2" t="s">
        <v>95</v>
      </c>
      <c r="J354" s="2" t="s">
        <v>1399</v>
      </c>
      <c r="K354" s="2">
        <v>8</v>
      </c>
      <c r="L354" s="2" t="s">
        <v>87</v>
      </c>
      <c r="M354" s="2" t="s">
        <v>33</v>
      </c>
      <c r="N354" s="2">
        <v>869.8</v>
      </c>
    </row>
    <row r="355" spans="1:14">
      <c r="A355" s="2" t="s">
        <v>1400</v>
      </c>
      <c r="B355" s="2">
        <v>45744</v>
      </c>
      <c r="C355" s="2" t="s">
        <v>1401</v>
      </c>
      <c r="D355" s="2" t="s">
        <v>10</v>
      </c>
      <c r="E355" s="2">
        <v>1</v>
      </c>
      <c r="F355" s="2">
        <v>630.82</v>
      </c>
      <c r="G355" s="2" t="s">
        <v>1402</v>
      </c>
      <c r="H355" s="2" t="s">
        <v>37</v>
      </c>
      <c r="I355" s="2" t="s">
        <v>57</v>
      </c>
      <c r="J355" s="2" t="s">
        <v>1403</v>
      </c>
      <c r="K355" s="2">
        <v>5</v>
      </c>
      <c r="L355" s="2" t="s">
        <v>46</v>
      </c>
      <c r="M355" s="2" t="s">
        <v>82</v>
      </c>
      <c r="N355" s="2">
        <v>630.82</v>
      </c>
    </row>
    <row r="356" spans="1:14">
      <c r="A356" s="2" t="s">
        <v>1404</v>
      </c>
      <c r="B356" s="2">
        <v>45118</v>
      </c>
      <c r="C356" s="2" t="s">
        <v>1405</v>
      </c>
      <c r="D356" s="2" t="s">
        <v>8</v>
      </c>
      <c r="E356" s="2">
        <v>1</v>
      </c>
      <c r="F356" s="2">
        <v>693.41</v>
      </c>
      <c r="G356" s="2" t="s">
        <v>1406</v>
      </c>
      <c r="H356" s="2" t="s">
        <v>29</v>
      </c>
      <c r="I356" s="2" t="s">
        <v>30</v>
      </c>
      <c r="J356" s="2" t="s">
        <v>1407</v>
      </c>
      <c r="K356" s="2">
        <v>4</v>
      </c>
      <c r="L356" s="2" t="s">
        <v>77</v>
      </c>
      <c r="M356" s="2" t="s">
        <v>33</v>
      </c>
      <c r="N356" s="2">
        <v>693.41</v>
      </c>
    </row>
    <row r="357" spans="1:14">
      <c r="A357" s="2" t="s">
        <v>1408</v>
      </c>
      <c r="B357" s="2">
        <v>45811</v>
      </c>
      <c r="C357" s="2" t="s">
        <v>1409</v>
      </c>
      <c r="D357" s="2" t="s">
        <v>10</v>
      </c>
      <c r="E357" s="2">
        <v>3</v>
      </c>
      <c r="F357" s="2">
        <v>433.33</v>
      </c>
      <c r="G357" s="2" t="s">
        <v>1410</v>
      </c>
      <c r="H357" s="2" t="s">
        <v>43</v>
      </c>
      <c r="I357" s="2" t="s">
        <v>44</v>
      </c>
      <c r="J357" s="2" t="s">
        <v>1411</v>
      </c>
      <c r="K357" s="2">
        <v>4</v>
      </c>
      <c r="L357" s="2" t="s">
        <v>46</v>
      </c>
      <c r="M357" s="2" t="s">
        <v>39</v>
      </c>
      <c r="N357" s="2">
        <v>1299.99</v>
      </c>
    </row>
    <row r="358" spans="1:14">
      <c r="A358" s="2" t="s">
        <v>1412</v>
      </c>
      <c r="B358" s="2">
        <v>45052</v>
      </c>
      <c r="C358" s="2" t="s">
        <v>1413</v>
      </c>
      <c r="D358" s="2" t="s">
        <v>9</v>
      </c>
      <c r="E358" s="2">
        <v>5</v>
      </c>
      <c r="F358" s="2">
        <v>374.58</v>
      </c>
      <c r="G358" s="2" t="s">
        <v>1414</v>
      </c>
      <c r="H358" s="2" t="s">
        <v>66</v>
      </c>
      <c r="I358" s="2" t="s">
        <v>44</v>
      </c>
      <c r="J358" s="2" t="s">
        <v>1415</v>
      </c>
      <c r="K358" s="2">
        <v>10</v>
      </c>
      <c r="L358" s="2" t="s">
        <v>46</v>
      </c>
      <c r="M358" s="2" t="s">
        <v>33</v>
      </c>
      <c r="N358" s="2">
        <v>1872.9</v>
      </c>
    </row>
    <row r="359" spans="1:14">
      <c r="A359" s="2" t="s">
        <v>1416</v>
      </c>
      <c r="B359" s="2">
        <v>45115</v>
      </c>
      <c r="C359" s="2" t="s">
        <v>1417</v>
      </c>
      <c r="D359" s="2" t="s">
        <v>6</v>
      </c>
      <c r="E359" s="2">
        <v>5</v>
      </c>
      <c r="F359" s="2">
        <v>408.56</v>
      </c>
      <c r="G359" s="2" t="s">
        <v>1346</v>
      </c>
      <c r="H359" s="2" t="s">
        <v>29</v>
      </c>
      <c r="I359" s="2" t="s">
        <v>57</v>
      </c>
      <c r="J359" s="2" t="s">
        <v>1418</v>
      </c>
      <c r="K359" s="2">
        <v>8</v>
      </c>
      <c r="L359" s="2" t="s">
        <v>46</v>
      </c>
      <c r="M359" s="2" t="s">
        <v>33</v>
      </c>
      <c r="N359" s="2">
        <v>2042.8</v>
      </c>
    </row>
    <row r="360" spans="1:14">
      <c r="A360" s="2" t="s">
        <v>1419</v>
      </c>
      <c r="B360" s="2">
        <v>45389</v>
      </c>
      <c r="C360" s="2" t="s">
        <v>1420</v>
      </c>
      <c r="D360" s="2" t="s">
        <v>10</v>
      </c>
      <c r="E360" s="2">
        <v>2</v>
      </c>
      <c r="F360" s="2">
        <v>183.67</v>
      </c>
      <c r="G360" s="2" t="s">
        <v>1421</v>
      </c>
      <c r="H360" s="2" t="s">
        <v>37</v>
      </c>
      <c r="I360" s="2" t="s">
        <v>44</v>
      </c>
      <c r="J360" s="2" t="s">
        <v>1422</v>
      </c>
      <c r="K360" s="2">
        <v>3</v>
      </c>
      <c r="L360" s="2" t="s">
        <v>32</v>
      </c>
      <c r="M360" s="2" t="s">
        <v>82</v>
      </c>
      <c r="N360" s="2">
        <v>367.34</v>
      </c>
    </row>
    <row r="361" spans="1:14">
      <c r="A361" s="2" t="s">
        <v>1423</v>
      </c>
      <c r="B361" s="2">
        <v>45086</v>
      </c>
      <c r="C361" s="2" t="s">
        <v>1424</v>
      </c>
      <c r="D361" s="2" t="s">
        <v>5</v>
      </c>
      <c r="E361" s="2">
        <v>4</v>
      </c>
      <c r="F361" s="2">
        <v>606.57</v>
      </c>
      <c r="G361" s="2" t="s">
        <v>1425</v>
      </c>
      <c r="H361" s="2" t="s">
        <v>29</v>
      </c>
      <c r="I361" s="2" t="s">
        <v>57</v>
      </c>
      <c r="J361" s="2" t="s">
        <v>1426</v>
      </c>
      <c r="K361" s="2">
        <v>5</v>
      </c>
      <c r="L361" s="2" t="s">
        <v>87</v>
      </c>
      <c r="M361" s="2" t="s">
        <v>39</v>
      </c>
      <c r="N361" s="2">
        <v>2426.28</v>
      </c>
    </row>
    <row r="362" spans="1:14">
      <c r="A362" s="2" t="s">
        <v>1427</v>
      </c>
      <c r="B362" s="2">
        <v>45449</v>
      </c>
      <c r="C362" s="2" t="s">
        <v>1428</v>
      </c>
      <c r="D362" s="2" t="s">
        <v>8</v>
      </c>
      <c r="E362" s="2">
        <v>4</v>
      </c>
      <c r="F362" s="2">
        <v>589.57</v>
      </c>
      <c r="G362" s="2" t="s">
        <v>1429</v>
      </c>
      <c r="H362" s="2" t="s">
        <v>71</v>
      </c>
      <c r="I362" s="2" t="s">
        <v>95</v>
      </c>
      <c r="J362" s="2" t="s">
        <v>1430</v>
      </c>
      <c r="K362" s="2">
        <v>8</v>
      </c>
      <c r="L362" s="2" t="s">
        <v>77</v>
      </c>
      <c r="M362" s="2" t="s">
        <v>33</v>
      </c>
      <c r="N362" s="2">
        <v>2358.28</v>
      </c>
    </row>
    <row r="363" spans="1:14">
      <c r="A363" s="2" t="s">
        <v>1431</v>
      </c>
      <c r="B363" s="2">
        <v>45472</v>
      </c>
      <c r="C363" s="2" t="s">
        <v>1432</v>
      </c>
      <c r="D363" s="2" t="s">
        <v>9</v>
      </c>
      <c r="E363" s="2">
        <v>5</v>
      </c>
      <c r="F363" s="2">
        <v>659.85</v>
      </c>
      <c r="G363" s="2" t="s">
        <v>1433</v>
      </c>
      <c r="H363" s="2" t="s">
        <v>43</v>
      </c>
      <c r="I363" s="2" t="s">
        <v>57</v>
      </c>
      <c r="J363" s="2" t="s">
        <v>1434</v>
      </c>
      <c r="K363" s="2">
        <v>9</v>
      </c>
      <c r="L363" s="2" t="s">
        <v>32</v>
      </c>
      <c r="M363" s="2" t="s">
        <v>53</v>
      </c>
      <c r="N363" s="2">
        <v>3299.25</v>
      </c>
    </row>
    <row r="364" spans="1:14">
      <c r="A364" s="2" t="s">
        <v>1435</v>
      </c>
      <c r="B364" s="2">
        <v>45104</v>
      </c>
      <c r="C364" s="2" t="s">
        <v>1436</v>
      </c>
      <c r="D364" s="2" t="s">
        <v>7</v>
      </c>
      <c r="E364" s="2">
        <v>4</v>
      </c>
      <c r="F364" s="2">
        <v>206.84</v>
      </c>
      <c r="G364" s="2" t="s">
        <v>1437</v>
      </c>
      <c r="H364" s="2" t="s">
        <v>71</v>
      </c>
      <c r="I364" s="2" t="s">
        <v>44</v>
      </c>
      <c r="J364" s="2" t="s">
        <v>1438</v>
      </c>
      <c r="K364" s="2">
        <v>5</v>
      </c>
      <c r="L364" s="2" t="s">
        <v>87</v>
      </c>
      <c r="M364" s="2" t="s">
        <v>33</v>
      </c>
      <c r="N364" s="2">
        <v>827.36</v>
      </c>
    </row>
    <row r="365" spans="1:14">
      <c r="A365" s="2" t="s">
        <v>1439</v>
      </c>
      <c r="B365" s="2">
        <v>45436</v>
      </c>
      <c r="C365" s="2" t="s">
        <v>1440</v>
      </c>
      <c r="D365" s="2" t="s">
        <v>6</v>
      </c>
      <c r="E365" s="2">
        <v>5</v>
      </c>
      <c r="F365" s="2">
        <v>113.87</v>
      </c>
      <c r="G365" s="2" t="s">
        <v>218</v>
      </c>
      <c r="H365" s="2" t="s">
        <v>43</v>
      </c>
      <c r="I365" s="2" t="s">
        <v>95</v>
      </c>
      <c r="J365" s="2" t="s">
        <v>1441</v>
      </c>
      <c r="K365" s="2">
        <v>6</v>
      </c>
      <c r="L365" s="2" t="s">
        <v>32</v>
      </c>
      <c r="M365" s="2" t="s">
        <v>47</v>
      </c>
      <c r="N365" s="2">
        <v>569.35</v>
      </c>
    </row>
    <row r="366" spans="1:14">
      <c r="A366" s="2" t="s">
        <v>1442</v>
      </c>
      <c r="B366" s="2">
        <v>45254</v>
      </c>
      <c r="C366" s="2" t="s">
        <v>1443</v>
      </c>
      <c r="D366" s="2" t="s">
        <v>8</v>
      </c>
      <c r="E366" s="2">
        <v>5</v>
      </c>
      <c r="F366" s="2">
        <v>628.74</v>
      </c>
      <c r="G366" s="2" t="s">
        <v>1127</v>
      </c>
      <c r="H366" s="2" t="s">
        <v>71</v>
      </c>
      <c r="I366" s="2" t="s">
        <v>44</v>
      </c>
      <c r="J366" s="2" t="s">
        <v>1444</v>
      </c>
      <c r="K366" s="2">
        <v>9</v>
      </c>
      <c r="L366" s="2" t="s">
        <v>46</v>
      </c>
      <c r="M366" s="2" t="s">
        <v>53</v>
      </c>
      <c r="N366" s="2">
        <v>3143.7</v>
      </c>
    </row>
    <row r="367" spans="1:14">
      <c r="A367" s="2" t="s">
        <v>1445</v>
      </c>
      <c r="B367" s="2">
        <v>45702</v>
      </c>
      <c r="C367" s="2" t="s">
        <v>1446</v>
      </c>
      <c r="D367" s="2" t="s">
        <v>8</v>
      </c>
      <c r="E367" s="2">
        <v>1</v>
      </c>
      <c r="F367" s="2">
        <v>678.38</v>
      </c>
      <c r="G367" s="2" t="s">
        <v>1319</v>
      </c>
      <c r="H367" s="2" t="s">
        <v>43</v>
      </c>
      <c r="I367" s="2" t="s">
        <v>44</v>
      </c>
      <c r="J367" s="2" t="s">
        <v>1447</v>
      </c>
      <c r="K367" s="2">
        <v>4</v>
      </c>
      <c r="L367" s="2" t="s">
        <v>32</v>
      </c>
      <c r="M367" s="2" t="s">
        <v>39</v>
      </c>
      <c r="N367" s="2">
        <v>678.38</v>
      </c>
    </row>
    <row r="368" spans="1:14">
      <c r="A368" s="2" t="s">
        <v>1448</v>
      </c>
      <c r="B368" s="2">
        <v>44967</v>
      </c>
      <c r="C368" s="2" t="s">
        <v>1449</v>
      </c>
      <c r="D368" s="2" t="s">
        <v>9</v>
      </c>
      <c r="E368" s="2">
        <v>3</v>
      </c>
      <c r="F368" s="2">
        <v>602.24</v>
      </c>
      <c r="G368" s="2" t="s">
        <v>1450</v>
      </c>
      <c r="H368" s="2" t="s">
        <v>29</v>
      </c>
      <c r="I368" s="2" t="s">
        <v>95</v>
      </c>
      <c r="J368" s="2" t="s">
        <v>1451</v>
      </c>
      <c r="K368" s="2">
        <v>8</v>
      </c>
      <c r="L368" s="2" t="s">
        <v>77</v>
      </c>
      <c r="M368" s="2" t="s">
        <v>39</v>
      </c>
      <c r="N368" s="2">
        <v>1806.72</v>
      </c>
    </row>
    <row r="369" spans="1:14">
      <c r="A369" s="2" t="s">
        <v>1452</v>
      </c>
      <c r="B369" s="2">
        <v>45407</v>
      </c>
      <c r="C369" s="2" t="s">
        <v>1453</v>
      </c>
      <c r="D369" s="2" t="s">
        <v>6</v>
      </c>
      <c r="E369" s="2">
        <v>5</v>
      </c>
      <c r="F369" s="2">
        <v>658.77</v>
      </c>
      <c r="G369" s="2" t="s">
        <v>1038</v>
      </c>
      <c r="H369" s="2" t="s">
        <v>66</v>
      </c>
      <c r="I369" s="2" t="s">
        <v>95</v>
      </c>
      <c r="J369" s="2" t="s">
        <v>1454</v>
      </c>
      <c r="K369" s="2">
        <v>10</v>
      </c>
      <c r="L369" s="2" t="s">
        <v>46</v>
      </c>
      <c r="M369" s="2" t="s">
        <v>33</v>
      </c>
      <c r="N369" s="2">
        <v>3293.85</v>
      </c>
    </row>
    <row r="370" spans="1:14">
      <c r="A370" s="2" t="s">
        <v>1455</v>
      </c>
      <c r="B370" s="2">
        <v>45047</v>
      </c>
      <c r="C370" s="2" t="s">
        <v>1456</v>
      </c>
      <c r="D370" s="2" t="s">
        <v>7</v>
      </c>
      <c r="E370" s="2">
        <v>3</v>
      </c>
      <c r="F370" s="2">
        <v>271.02</v>
      </c>
      <c r="G370" s="2" t="s">
        <v>1457</v>
      </c>
      <c r="H370" s="2" t="s">
        <v>43</v>
      </c>
      <c r="I370" s="2" t="s">
        <v>44</v>
      </c>
      <c r="J370" s="2" t="s">
        <v>1458</v>
      </c>
      <c r="K370" s="2">
        <v>6</v>
      </c>
      <c r="L370" s="2" t="s">
        <v>77</v>
      </c>
      <c r="M370" s="2" t="s">
        <v>82</v>
      </c>
      <c r="N370" s="2">
        <v>813.06</v>
      </c>
    </row>
    <row r="371" spans="1:14">
      <c r="A371" s="2" t="s">
        <v>1459</v>
      </c>
      <c r="B371" s="2">
        <v>45648</v>
      </c>
      <c r="C371" s="2" t="s">
        <v>1460</v>
      </c>
      <c r="D371" s="2" t="s">
        <v>7</v>
      </c>
      <c r="E371" s="2">
        <v>5</v>
      </c>
      <c r="F371" s="2">
        <v>375.25</v>
      </c>
      <c r="G371" s="2" t="s">
        <v>1461</v>
      </c>
      <c r="H371" s="2" t="s">
        <v>66</v>
      </c>
      <c r="I371" s="2" t="s">
        <v>95</v>
      </c>
      <c r="J371" s="2" t="s">
        <v>1462</v>
      </c>
      <c r="K371" s="2">
        <v>9</v>
      </c>
      <c r="L371" s="2" t="s">
        <v>32</v>
      </c>
      <c r="M371" s="2" t="s">
        <v>47</v>
      </c>
      <c r="N371" s="2">
        <v>1876.25</v>
      </c>
    </row>
    <row r="372" spans="1:14">
      <c r="A372" s="2" t="s">
        <v>1463</v>
      </c>
      <c r="B372" s="2">
        <v>45780</v>
      </c>
      <c r="C372" s="2" t="s">
        <v>1464</v>
      </c>
      <c r="D372" s="2" t="s">
        <v>8</v>
      </c>
      <c r="E372" s="2">
        <v>1</v>
      </c>
      <c r="F372" s="2">
        <v>312.11</v>
      </c>
      <c r="G372" s="2" t="s">
        <v>1465</v>
      </c>
      <c r="H372" s="2" t="s">
        <v>37</v>
      </c>
      <c r="I372" s="2" t="s">
        <v>44</v>
      </c>
      <c r="J372" s="2" t="s">
        <v>1466</v>
      </c>
      <c r="K372" s="2">
        <v>4</v>
      </c>
      <c r="L372" s="2" t="s">
        <v>87</v>
      </c>
      <c r="M372" s="2" t="s">
        <v>53</v>
      </c>
      <c r="N372" s="2">
        <v>312.11</v>
      </c>
    </row>
    <row r="373" spans="1:14">
      <c r="A373" s="2" t="s">
        <v>1467</v>
      </c>
      <c r="B373" s="2">
        <v>44931</v>
      </c>
      <c r="C373" s="2" t="s">
        <v>1468</v>
      </c>
      <c r="D373" s="2" t="s">
        <v>8</v>
      </c>
      <c r="E373" s="2">
        <v>5</v>
      </c>
      <c r="F373" s="2">
        <v>307.76</v>
      </c>
      <c r="G373" s="2" t="s">
        <v>94</v>
      </c>
      <c r="H373" s="2" t="s">
        <v>66</v>
      </c>
      <c r="I373" s="2" t="s">
        <v>95</v>
      </c>
      <c r="J373" s="2" t="s">
        <v>1469</v>
      </c>
      <c r="K373" s="2">
        <v>9</v>
      </c>
      <c r="L373" s="2" t="s">
        <v>46</v>
      </c>
      <c r="M373" s="2" t="s">
        <v>82</v>
      </c>
      <c r="N373" s="2">
        <v>1538.8</v>
      </c>
    </row>
    <row r="374" spans="1:14">
      <c r="A374" s="2" t="s">
        <v>1470</v>
      </c>
      <c r="B374" s="2">
        <v>45702</v>
      </c>
      <c r="C374" s="2" t="s">
        <v>1471</v>
      </c>
      <c r="D374" s="2" t="s">
        <v>4</v>
      </c>
      <c r="E374" s="2">
        <v>3</v>
      </c>
      <c r="F374" s="2">
        <v>483.53</v>
      </c>
      <c r="G374" s="2" t="s">
        <v>1472</v>
      </c>
      <c r="H374" s="2" t="s">
        <v>71</v>
      </c>
      <c r="I374" s="2" t="s">
        <v>51</v>
      </c>
      <c r="J374" s="2" t="s">
        <v>1473</v>
      </c>
      <c r="K374" s="2">
        <v>4</v>
      </c>
      <c r="L374" s="2" t="s">
        <v>77</v>
      </c>
      <c r="M374" s="2" t="s">
        <v>39</v>
      </c>
      <c r="N374" s="2">
        <v>1450.59</v>
      </c>
    </row>
    <row r="375" spans="1:14">
      <c r="A375" s="2" t="s">
        <v>1474</v>
      </c>
      <c r="B375" s="2">
        <v>44928</v>
      </c>
      <c r="C375" s="2" t="s">
        <v>1475</v>
      </c>
      <c r="D375" s="2" t="s">
        <v>6</v>
      </c>
      <c r="E375" s="2">
        <v>3</v>
      </c>
      <c r="F375" s="2">
        <v>341.15</v>
      </c>
      <c r="G375" s="2" t="s">
        <v>1476</v>
      </c>
      <c r="H375" s="2" t="s">
        <v>71</v>
      </c>
      <c r="I375" s="2" t="s">
        <v>95</v>
      </c>
      <c r="J375" s="2" t="s">
        <v>1477</v>
      </c>
      <c r="K375" s="2">
        <v>4</v>
      </c>
      <c r="L375" s="2" t="s">
        <v>46</v>
      </c>
      <c r="M375" s="2" t="s">
        <v>33</v>
      </c>
      <c r="N375" s="2">
        <v>1023.45</v>
      </c>
    </row>
    <row r="376" spans="1:14">
      <c r="A376" s="2" t="s">
        <v>1478</v>
      </c>
      <c r="B376" s="2">
        <v>45551</v>
      </c>
      <c r="C376" s="2" t="s">
        <v>1479</v>
      </c>
      <c r="D376" s="2" t="s">
        <v>7</v>
      </c>
      <c r="E376" s="2">
        <v>1</v>
      </c>
      <c r="F376" s="2">
        <v>571.9</v>
      </c>
      <c r="G376" s="2" t="s">
        <v>333</v>
      </c>
      <c r="H376" s="2" t="s">
        <v>66</v>
      </c>
      <c r="I376" s="2" t="s">
        <v>95</v>
      </c>
      <c r="J376" s="2" t="s">
        <v>1480</v>
      </c>
      <c r="K376" s="2">
        <v>1</v>
      </c>
      <c r="L376" s="2" t="s">
        <v>87</v>
      </c>
      <c r="M376" s="2" t="s">
        <v>33</v>
      </c>
      <c r="N376" s="2">
        <v>571.9</v>
      </c>
    </row>
    <row r="377" spans="1:14">
      <c r="A377" s="2" t="s">
        <v>1481</v>
      </c>
      <c r="B377" s="2">
        <v>45673</v>
      </c>
      <c r="C377" s="2" t="s">
        <v>1482</v>
      </c>
      <c r="D377" s="2" t="s">
        <v>7</v>
      </c>
      <c r="E377" s="2">
        <v>4</v>
      </c>
      <c r="F377" s="2">
        <v>95.03</v>
      </c>
      <c r="G377" s="2" t="s">
        <v>1483</v>
      </c>
      <c r="H377" s="2" t="s">
        <v>37</v>
      </c>
      <c r="I377" s="2" t="s">
        <v>30</v>
      </c>
      <c r="J377" s="2" t="s">
        <v>1484</v>
      </c>
      <c r="K377" s="2">
        <v>8</v>
      </c>
      <c r="L377" s="2" t="s">
        <v>46</v>
      </c>
      <c r="M377" s="2" t="s">
        <v>53</v>
      </c>
      <c r="N377" s="2">
        <v>380.12</v>
      </c>
    </row>
    <row r="378" spans="1:14">
      <c r="A378" s="2" t="s">
        <v>1485</v>
      </c>
      <c r="B378" s="2">
        <v>45162</v>
      </c>
      <c r="C378" s="2" t="s">
        <v>1486</v>
      </c>
      <c r="D378" s="2" t="s">
        <v>7</v>
      </c>
      <c r="E378" s="2">
        <v>5</v>
      </c>
      <c r="F378" s="2">
        <v>201.22</v>
      </c>
      <c r="G378" s="2" t="s">
        <v>1487</v>
      </c>
      <c r="H378" s="2" t="s">
        <v>29</v>
      </c>
      <c r="I378" s="2" t="s">
        <v>95</v>
      </c>
      <c r="J378" s="2" t="s">
        <v>1488</v>
      </c>
      <c r="K378" s="2">
        <v>6</v>
      </c>
      <c r="L378" s="2" t="s">
        <v>46</v>
      </c>
      <c r="M378" s="2" t="s">
        <v>53</v>
      </c>
      <c r="N378" s="2">
        <v>1006.1</v>
      </c>
    </row>
    <row r="379" spans="1:14">
      <c r="A379" s="2" t="s">
        <v>1489</v>
      </c>
      <c r="B379" s="2">
        <v>45495</v>
      </c>
      <c r="C379" s="2" t="s">
        <v>1490</v>
      </c>
      <c r="D379" s="2" t="s">
        <v>7</v>
      </c>
      <c r="E379" s="2">
        <v>1</v>
      </c>
      <c r="F379" s="2">
        <v>260.26</v>
      </c>
      <c r="G379" s="2" t="s">
        <v>1235</v>
      </c>
      <c r="H379" s="2" t="s">
        <v>37</v>
      </c>
      <c r="I379" s="2" t="s">
        <v>95</v>
      </c>
      <c r="J379" s="2" t="s">
        <v>1491</v>
      </c>
      <c r="K379" s="2">
        <v>5</v>
      </c>
      <c r="L379" s="2" t="s">
        <v>87</v>
      </c>
      <c r="M379" s="2" t="s">
        <v>33</v>
      </c>
      <c r="N379" s="2">
        <v>260.26</v>
      </c>
    </row>
    <row r="380" spans="1:14">
      <c r="A380" s="2" t="s">
        <v>1492</v>
      </c>
      <c r="B380" s="2">
        <v>45323</v>
      </c>
      <c r="C380" s="2" t="s">
        <v>1493</v>
      </c>
      <c r="D380" s="2" t="s">
        <v>4</v>
      </c>
      <c r="E380" s="2">
        <v>5</v>
      </c>
      <c r="F380" s="2">
        <v>64.5</v>
      </c>
      <c r="G380" s="2" t="s">
        <v>1494</v>
      </c>
      <c r="H380" s="2" t="s">
        <v>43</v>
      </c>
      <c r="I380" s="2" t="s">
        <v>95</v>
      </c>
      <c r="J380" s="2" t="s">
        <v>1495</v>
      </c>
      <c r="K380" s="2">
        <v>8</v>
      </c>
      <c r="L380" s="2" t="s">
        <v>87</v>
      </c>
      <c r="M380" s="2" t="s">
        <v>33</v>
      </c>
      <c r="N380" s="2">
        <v>322.5</v>
      </c>
    </row>
    <row r="381" spans="1:14">
      <c r="A381" s="2" t="s">
        <v>1496</v>
      </c>
      <c r="B381" s="2">
        <v>45556</v>
      </c>
      <c r="C381" s="2" t="s">
        <v>1497</v>
      </c>
      <c r="D381" s="2" t="s">
        <v>8</v>
      </c>
      <c r="E381" s="2">
        <v>3</v>
      </c>
      <c r="F381" s="2">
        <v>297.67</v>
      </c>
      <c r="G381" s="2" t="s">
        <v>745</v>
      </c>
      <c r="H381" s="2" t="s">
        <v>37</v>
      </c>
      <c r="I381" s="2" t="s">
        <v>30</v>
      </c>
      <c r="J381" s="2" t="s">
        <v>1498</v>
      </c>
      <c r="K381" s="2">
        <v>6</v>
      </c>
      <c r="L381" s="2" t="s">
        <v>77</v>
      </c>
      <c r="M381" s="2" t="s">
        <v>82</v>
      </c>
      <c r="N381" s="2">
        <v>893.01</v>
      </c>
    </row>
    <row r="382" spans="1:14">
      <c r="A382" s="2" t="s">
        <v>1499</v>
      </c>
      <c r="B382" s="2">
        <v>45402</v>
      </c>
      <c r="C382" s="2" t="s">
        <v>1500</v>
      </c>
      <c r="D382" s="2" t="s">
        <v>9</v>
      </c>
      <c r="E382" s="2">
        <v>4</v>
      </c>
      <c r="F382" s="2">
        <v>331.9</v>
      </c>
      <c r="G382" s="2" t="s">
        <v>1087</v>
      </c>
      <c r="H382" s="2" t="s">
        <v>71</v>
      </c>
      <c r="I382" s="2" t="s">
        <v>95</v>
      </c>
      <c r="J382" s="2" t="s">
        <v>1501</v>
      </c>
      <c r="K382" s="2">
        <v>5</v>
      </c>
      <c r="L382" s="2" t="s">
        <v>32</v>
      </c>
      <c r="M382" s="2" t="s">
        <v>33</v>
      </c>
      <c r="N382" s="2">
        <v>1327.6</v>
      </c>
    </row>
    <row r="383" spans="1:14">
      <c r="A383" s="2" t="s">
        <v>1502</v>
      </c>
      <c r="B383" s="2">
        <v>45084</v>
      </c>
      <c r="C383" s="2" t="s">
        <v>1503</v>
      </c>
      <c r="D383" s="2" t="s">
        <v>4</v>
      </c>
      <c r="E383" s="2">
        <v>1</v>
      </c>
      <c r="F383" s="2">
        <v>191.76</v>
      </c>
      <c r="G383" s="2" t="s">
        <v>229</v>
      </c>
      <c r="H383" s="2" t="s">
        <v>43</v>
      </c>
      <c r="I383" s="2" t="s">
        <v>51</v>
      </c>
      <c r="J383" s="2" t="s">
        <v>1504</v>
      </c>
      <c r="K383" s="2">
        <v>1</v>
      </c>
      <c r="L383" s="2" t="s">
        <v>46</v>
      </c>
      <c r="M383" s="2" t="s">
        <v>33</v>
      </c>
      <c r="N383" s="2">
        <v>191.76</v>
      </c>
    </row>
    <row r="384" spans="1:14">
      <c r="A384" s="2" t="s">
        <v>1505</v>
      </c>
      <c r="B384" s="2">
        <v>45687</v>
      </c>
      <c r="C384" s="2" t="s">
        <v>1506</v>
      </c>
      <c r="D384" s="2" t="s">
        <v>9</v>
      </c>
      <c r="E384" s="2">
        <v>4</v>
      </c>
      <c r="F384" s="2">
        <v>263.09</v>
      </c>
      <c r="G384" s="2" t="s">
        <v>1507</v>
      </c>
      <c r="H384" s="2" t="s">
        <v>29</v>
      </c>
      <c r="I384" s="2" t="s">
        <v>30</v>
      </c>
      <c r="J384" s="2" t="s">
        <v>1508</v>
      </c>
      <c r="K384" s="2">
        <v>8</v>
      </c>
      <c r="L384" s="2" t="s">
        <v>32</v>
      </c>
      <c r="M384" s="2" t="s">
        <v>82</v>
      </c>
      <c r="N384" s="2">
        <v>1052.36</v>
      </c>
    </row>
    <row r="385" spans="1:14">
      <c r="A385" s="2" t="s">
        <v>1509</v>
      </c>
      <c r="B385" s="2">
        <v>44946</v>
      </c>
      <c r="C385" s="2" t="s">
        <v>1510</v>
      </c>
      <c r="D385" s="2" t="s">
        <v>4</v>
      </c>
      <c r="E385" s="2">
        <v>4</v>
      </c>
      <c r="F385" s="2">
        <v>393.8</v>
      </c>
      <c r="G385" s="2" t="s">
        <v>413</v>
      </c>
      <c r="H385" s="2" t="s">
        <v>43</v>
      </c>
      <c r="I385" s="2" t="s">
        <v>95</v>
      </c>
      <c r="J385" s="2" t="s">
        <v>1511</v>
      </c>
      <c r="K385" s="2">
        <v>7</v>
      </c>
      <c r="L385" s="2" t="s">
        <v>32</v>
      </c>
      <c r="M385" s="2" t="s">
        <v>47</v>
      </c>
      <c r="N385" s="2">
        <v>1575.2</v>
      </c>
    </row>
    <row r="386" spans="1:14">
      <c r="A386" s="2" t="s">
        <v>1512</v>
      </c>
      <c r="B386" s="2">
        <v>45620</v>
      </c>
      <c r="C386" s="2" t="s">
        <v>1513</v>
      </c>
      <c r="D386" s="2" t="s">
        <v>4</v>
      </c>
      <c r="E386" s="2">
        <v>3</v>
      </c>
      <c r="F386" s="2">
        <v>553.57</v>
      </c>
      <c r="G386" s="2" t="s">
        <v>1514</v>
      </c>
      <c r="H386" s="2" t="s">
        <v>43</v>
      </c>
      <c r="I386" s="2" t="s">
        <v>51</v>
      </c>
      <c r="J386" s="2" t="s">
        <v>1515</v>
      </c>
      <c r="K386" s="2">
        <v>4</v>
      </c>
      <c r="L386" s="2" t="s">
        <v>46</v>
      </c>
      <c r="M386" s="2" t="s">
        <v>53</v>
      </c>
      <c r="N386" s="2">
        <v>1660.71</v>
      </c>
    </row>
    <row r="387" spans="1:14">
      <c r="A387" s="2" t="s">
        <v>1516</v>
      </c>
      <c r="B387" s="2">
        <v>45230</v>
      </c>
      <c r="C387" s="2" t="s">
        <v>1517</v>
      </c>
      <c r="D387" s="2" t="s">
        <v>4</v>
      </c>
      <c r="E387" s="2">
        <v>5</v>
      </c>
      <c r="F387" s="2">
        <v>191.63</v>
      </c>
      <c r="G387" s="2" t="s">
        <v>299</v>
      </c>
      <c r="H387" s="2" t="s">
        <v>66</v>
      </c>
      <c r="I387" s="2" t="s">
        <v>57</v>
      </c>
      <c r="J387" s="2" t="s">
        <v>1518</v>
      </c>
      <c r="K387" s="2">
        <v>6</v>
      </c>
      <c r="L387" s="2" t="s">
        <v>46</v>
      </c>
      <c r="M387" s="2" t="s">
        <v>53</v>
      </c>
      <c r="N387" s="2">
        <v>958.15</v>
      </c>
    </row>
    <row r="388" spans="1:14">
      <c r="A388" s="2" t="s">
        <v>1519</v>
      </c>
      <c r="B388" s="2">
        <v>45044</v>
      </c>
      <c r="C388" s="2" t="s">
        <v>1520</v>
      </c>
      <c r="D388" s="2" t="s">
        <v>10</v>
      </c>
      <c r="E388" s="2">
        <v>1</v>
      </c>
      <c r="F388" s="2">
        <v>93.02</v>
      </c>
      <c r="G388" s="2" t="s">
        <v>1521</v>
      </c>
      <c r="H388" s="2" t="s">
        <v>37</v>
      </c>
      <c r="I388" s="2" t="s">
        <v>51</v>
      </c>
      <c r="J388" s="2" t="s">
        <v>1522</v>
      </c>
      <c r="K388" s="2">
        <v>4</v>
      </c>
      <c r="L388" s="2" t="s">
        <v>77</v>
      </c>
      <c r="M388" s="2" t="s">
        <v>47</v>
      </c>
      <c r="N388" s="2">
        <v>93.02</v>
      </c>
    </row>
    <row r="389" spans="1:14">
      <c r="A389" s="2" t="s">
        <v>1523</v>
      </c>
      <c r="B389" s="2">
        <v>45470</v>
      </c>
      <c r="C389" s="2" t="s">
        <v>1524</v>
      </c>
      <c r="D389" s="2" t="s">
        <v>9</v>
      </c>
      <c r="E389" s="2">
        <v>2</v>
      </c>
      <c r="F389" s="2">
        <v>39.53</v>
      </c>
      <c r="G389" s="2" t="s">
        <v>75</v>
      </c>
      <c r="H389" s="2" t="s">
        <v>43</v>
      </c>
      <c r="I389" s="2" t="s">
        <v>30</v>
      </c>
      <c r="J389" s="2" t="s">
        <v>1525</v>
      </c>
      <c r="K389" s="2">
        <v>3</v>
      </c>
      <c r="L389" s="2" t="s">
        <v>87</v>
      </c>
      <c r="M389" s="2" t="s">
        <v>82</v>
      </c>
      <c r="N389" s="2">
        <v>79.06</v>
      </c>
    </row>
    <row r="390" spans="1:14">
      <c r="A390" s="2" t="s">
        <v>1526</v>
      </c>
      <c r="B390" s="2">
        <v>45288</v>
      </c>
      <c r="C390" s="2" t="s">
        <v>1527</v>
      </c>
      <c r="D390" s="2" t="s">
        <v>9</v>
      </c>
      <c r="E390" s="2">
        <v>3</v>
      </c>
      <c r="F390" s="2">
        <v>633.97</v>
      </c>
      <c r="G390" s="2" t="s">
        <v>444</v>
      </c>
      <c r="H390" s="2" t="s">
        <v>71</v>
      </c>
      <c r="I390" s="2" t="s">
        <v>95</v>
      </c>
      <c r="J390" s="2" t="s">
        <v>1528</v>
      </c>
      <c r="K390" s="2">
        <v>7</v>
      </c>
      <c r="L390" s="2" t="s">
        <v>87</v>
      </c>
      <c r="M390" s="2" t="s">
        <v>53</v>
      </c>
      <c r="N390" s="2">
        <v>1901.91</v>
      </c>
    </row>
    <row r="391" spans="1:14">
      <c r="A391" s="2" t="s">
        <v>1529</v>
      </c>
      <c r="B391" s="2">
        <v>45277</v>
      </c>
      <c r="C391" s="2" t="s">
        <v>1530</v>
      </c>
      <c r="D391" s="2" t="s">
        <v>5</v>
      </c>
      <c r="E391" s="2">
        <v>4</v>
      </c>
      <c r="F391" s="2">
        <v>697.5</v>
      </c>
      <c r="G391" s="2" t="s">
        <v>1531</v>
      </c>
      <c r="H391" s="2" t="s">
        <v>71</v>
      </c>
      <c r="I391" s="2" t="s">
        <v>30</v>
      </c>
      <c r="J391" s="2" t="s">
        <v>1532</v>
      </c>
      <c r="K391" s="2">
        <v>7</v>
      </c>
      <c r="L391" s="2" t="s">
        <v>46</v>
      </c>
      <c r="M391" s="2" t="s">
        <v>39</v>
      </c>
      <c r="N391" s="2">
        <v>2790</v>
      </c>
    </row>
    <row r="392" spans="1:14">
      <c r="A392" s="2" t="s">
        <v>1533</v>
      </c>
      <c r="B392" s="2">
        <v>45121</v>
      </c>
      <c r="C392" s="2" t="s">
        <v>1534</v>
      </c>
      <c r="D392" s="2" t="s">
        <v>9</v>
      </c>
      <c r="E392" s="2">
        <v>5</v>
      </c>
      <c r="F392" s="2">
        <v>508.69</v>
      </c>
      <c r="G392" s="2" t="s">
        <v>1382</v>
      </c>
      <c r="H392" s="2" t="s">
        <v>71</v>
      </c>
      <c r="I392" s="2" t="s">
        <v>57</v>
      </c>
      <c r="J392" s="2" t="s">
        <v>1535</v>
      </c>
      <c r="K392" s="2">
        <v>10</v>
      </c>
      <c r="L392" s="2" t="s">
        <v>46</v>
      </c>
      <c r="M392" s="2" t="s">
        <v>82</v>
      </c>
      <c r="N392" s="2">
        <v>2543.45</v>
      </c>
    </row>
    <row r="393" spans="1:14">
      <c r="A393" s="2" t="s">
        <v>1536</v>
      </c>
      <c r="B393" s="2">
        <v>45673</v>
      </c>
      <c r="C393" s="2" t="s">
        <v>1537</v>
      </c>
      <c r="D393" s="2" t="s">
        <v>6</v>
      </c>
      <c r="E393" s="2">
        <v>2</v>
      </c>
      <c r="F393" s="2">
        <v>527.46</v>
      </c>
      <c r="G393" s="2" t="s">
        <v>1143</v>
      </c>
      <c r="H393" s="2" t="s">
        <v>29</v>
      </c>
      <c r="I393" s="2" t="s">
        <v>44</v>
      </c>
      <c r="J393" s="2" t="s">
        <v>1538</v>
      </c>
      <c r="K393" s="2">
        <v>3</v>
      </c>
      <c r="L393" s="2" t="s">
        <v>46</v>
      </c>
      <c r="M393" s="2" t="s">
        <v>39</v>
      </c>
      <c r="N393" s="2">
        <v>1054.92</v>
      </c>
    </row>
    <row r="394" spans="1:14">
      <c r="A394" s="2" t="s">
        <v>1539</v>
      </c>
      <c r="B394" s="2">
        <v>45350</v>
      </c>
      <c r="C394" s="2" t="s">
        <v>1540</v>
      </c>
      <c r="D394" s="2" t="s">
        <v>8</v>
      </c>
      <c r="E394" s="2">
        <v>1</v>
      </c>
      <c r="F394" s="2">
        <v>627.2</v>
      </c>
      <c r="G394" s="2" t="s">
        <v>1433</v>
      </c>
      <c r="H394" s="2" t="s">
        <v>37</v>
      </c>
      <c r="I394" s="2" t="s">
        <v>57</v>
      </c>
      <c r="J394" s="2" t="s">
        <v>1541</v>
      </c>
      <c r="K394" s="2">
        <v>1</v>
      </c>
      <c r="L394" s="2" t="s">
        <v>87</v>
      </c>
      <c r="M394" s="2" t="s">
        <v>47</v>
      </c>
      <c r="N394" s="2">
        <v>627.2</v>
      </c>
    </row>
    <row r="395" spans="1:14">
      <c r="A395" s="2" t="s">
        <v>1542</v>
      </c>
      <c r="B395" s="2">
        <v>45487</v>
      </c>
      <c r="C395" s="2" t="s">
        <v>1543</v>
      </c>
      <c r="D395" s="2" t="s">
        <v>9</v>
      </c>
      <c r="E395" s="2">
        <v>1</v>
      </c>
      <c r="F395" s="2">
        <v>75.01</v>
      </c>
      <c r="G395" s="2" t="s">
        <v>1544</v>
      </c>
      <c r="H395" s="2" t="s">
        <v>43</v>
      </c>
      <c r="I395" s="2" t="s">
        <v>51</v>
      </c>
      <c r="J395" s="2" t="s">
        <v>1545</v>
      </c>
      <c r="K395" s="2">
        <v>3</v>
      </c>
      <c r="L395" s="2" t="s">
        <v>77</v>
      </c>
      <c r="M395" s="2" t="s">
        <v>82</v>
      </c>
      <c r="N395" s="2">
        <v>75.01</v>
      </c>
    </row>
    <row r="396" spans="1:14">
      <c r="A396" s="2" t="s">
        <v>1546</v>
      </c>
      <c r="B396" s="2">
        <v>45112</v>
      </c>
      <c r="C396" s="2" t="s">
        <v>1547</v>
      </c>
      <c r="D396" s="2" t="s">
        <v>5</v>
      </c>
      <c r="E396" s="2">
        <v>5</v>
      </c>
      <c r="F396" s="2">
        <v>529.55</v>
      </c>
      <c r="G396" s="2" t="s">
        <v>1548</v>
      </c>
      <c r="H396" s="2" t="s">
        <v>66</v>
      </c>
      <c r="I396" s="2" t="s">
        <v>30</v>
      </c>
      <c r="J396" s="2" t="s">
        <v>1549</v>
      </c>
      <c r="K396" s="2">
        <v>10</v>
      </c>
      <c r="L396" s="2" t="s">
        <v>77</v>
      </c>
      <c r="M396" s="2" t="s">
        <v>53</v>
      </c>
      <c r="N396" s="2">
        <v>2647.75</v>
      </c>
    </row>
    <row r="397" spans="1:14">
      <c r="A397" s="2" t="s">
        <v>1550</v>
      </c>
      <c r="B397" s="2">
        <v>45772</v>
      </c>
      <c r="C397" s="2" t="s">
        <v>1551</v>
      </c>
      <c r="D397" s="2" t="s">
        <v>8</v>
      </c>
      <c r="E397" s="2">
        <v>3</v>
      </c>
      <c r="F397" s="2">
        <v>127.41</v>
      </c>
      <c r="G397" s="2" t="s">
        <v>175</v>
      </c>
      <c r="H397" s="2" t="s">
        <v>66</v>
      </c>
      <c r="I397" s="2" t="s">
        <v>57</v>
      </c>
      <c r="J397" s="2" t="s">
        <v>1552</v>
      </c>
      <c r="K397" s="2">
        <v>7</v>
      </c>
      <c r="L397" s="2" t="s">
        <v>32</v>
      </c>
      <c r="M397" s="2" t="s">
        <v>39</v>
      </c>
      <c r="N397" s="2">
        <v>382.23</v>
      </c>
    </row>
    <row r="398" spans="1:14">
      <c r="A398" s="2" t="s">
        <v>1553</v>
      </c>
      <c r="B398" s="2">
        <v>45261</v>
      </c>
      <c r="C398" s="2" t="s">
        <v>1554</v>
      </c>
      <c r="D398" s="2" t="s">
        <v>10</v>
      </c>
      <c r="E398" s="2">
        <v>5</v>
      </c>
      <c r="F398" s="2">
        <v>287.13</v>
      </c>
      <c r="G398" s="2" t="s">
        <v>1555</v>
      </c>
      <c r="H398" s="2" t="s">
        <v>37</v>
      </c>
      <c r="I398" s="2" t="s">
        <v>30</v>
      </c>
      <c r="J398" s="2" t="s">
        <v>1556</v>
      </c>
      <c r="K398" s="2">
        <v>10</v>
      </c>
      <c r="L398" s="2" t="s">
        <v>32</v>
      </c>
      <c r="M398" s="2" t="s">
        <v>47</v>
      </c>
      <c r="N398" s="2">
        <v>1435.65</v>
      </c>
    </row>
    <row r="399" spans="1:14">
      <c r="A399" s="2" t="s">
        <v>1557</v>
      </c>
      <c r="B399" s="2">
        <v>45197</v>
      </c>
      <c r="C399" s="2" t="s">
        <v>1558</v>
      </c>
      <c r="D399" s="2" t="s">
        <v>7</v>
      </c>
      <c r="E399" s="2">
        <v>1</v>
      </c>
      <c r="F399" s="2">
        <v>427.06</v>
      </c>
      <c r="G399" s="2" t="s">
        <v>1559</v>
      </c>
      <c r="H399" s="2" t="s">
        <v>37</v>
      </c>
      <c r="I399" s="2" t="s">
        <v>44</v>
      </c>
      <c r="J399" s="2" t="s">
        <v>1560</v>
      </c>
      <c r="K399" s="2">
        <v>1</v>
      </c>
      <c r="L399" s="2" t="s">
        <v>87</v>
      </c>
      <c r="M399" s="2" t="s">
        <v>39</v>
      </c>
      <c r="N399" s="2">
        <v>427.06</v>
      </c>
    </row>
    <row r="400" spans="1:14">
      <c r="A400" s="2" t="s">
        <v>1561</v>
      </c>
      <c r="B400" s="2">
        <v>45539</v>
      </c>
      <c r="C400" s="2" t="s">
        <v>1562</v>
      </c>
      <c r="D400" s="2" t="s">
        <v>8</v>
      </c>
      <c r="E400" s="2">
        <v>5</v>
      </c>
      <c r="F400" s="2">
        <v>53.93</v>
      </c>
      <c r="G400" s="2" t="s">
        <v>847</v>
      </c>
      <c r="H400" s="2" t="s">
        <v>66</v>
      </c>
      <c r="I400" s="2" t="s">
        <v>30</v>
      </c>
      <c r="J400" s="2" t="s">
        <v>1563</v>
      </c>
      <c r="K400" s="2">
        <v>7</v>
      </c>
      <c r="L400" s="2" t="s">
        <v>32</v>
      </c>
      <c r="M400" s="2" t="s">
        <v>33</v>
      </c>
      <c r="N400" s="2">
        <v>269.65</v>
      </c>
    </row>
    <row r="401" spans="1:14">
      <c r="A401" s="2" t="s">
        <v>1564</v>
      </c>
      <c r="B401" s="2">
        <v>45298</v>
      </c>
      <c r="C401" s="2" t="s">
        <v>1565</v>
      </c>
      <c r="D401" s="2" t="s">
        <v>10</v>
      </c>
      <c r="E401" s="2">
        <v>5</v>
      </c>
      <c r="F401" s="2">
        <v>423.93</v>
      </c>
      <c r="G401" s="2" t="s">
        <v>1566</v>
      </c>
      <c r="H401" s="2" t="s">
        <v>29</v>
      </c>
      <c r="I401" s="2" t="s">
        <v>51</v>
      </c>
      <c r="J401" s="2" t="s">
        <v>1567</v>
      </c>
      <c r="K401" s="2">
        <v>5</v>
      </c>
      <c r="L401" s="2" t="s">
        <v>46</v>
      </c>
      <c r="M401" s="2" t="s">
        <v>53</v>
      </c>
      <c r="N401" s="2">
        <v>2119.65</v>
      </c>
    </row>
    <row r="402" spans="1:14">
      <c r="A402" s="2" t="s">
        <v>1568</v>
      </c>
      <c r="B402" s="2">
        <v>45563</v>
      </c>
      <c r="C402" s="2" t="s">
        <v>1569</v>
      </c>
      <c r="D402" s="2" t="s">
        <v>5</v>
      </c>
      <c r="E402" s="2">
        <v>4</v>
      </c>
      <c r="F402" s="2">
        <v>160.22</v>
      </c>
      <c r="G402" s="2" t="s">
        <v>1570</v>
      </c>
      <c r="H402" s="2" t="s">
        <v>29</v>
      </c>
      <c r="I402" s="2" t="s">
        <v>51</v>
      </c>
      <c r="J402" s="2" t="s">
        <v>1571</v>
      </c>
      <c r="K402" s="2">
        <v>9</v>
      </c>
      <c r="L402" s="2" t="s">
        <v>87</v>
      </c>
      <c r="M402" s="2" t="s">
        <v>33</v>
      </c>
      <c r="N402" s="2">
        <v>640.88</v>
      </c>
    </row>
    <row r="403" spans="1:14">
      <c r="A403" s="2" t="s">
        <v>1572</v>
      </c>
      <c r="B403" s="2">
        <v>45756</v>
      </c>
      <c r="C403" s="2" t="s">
        <v>1573</v>
      </c>
      <c r="D403" s="2" t="s">
        <v>9</v>
      </c>
      <c r="E403" s="2">
        <v>1</v>
      </c>
      <c r="F403" s="2">
        <v>538.68</v>
      </c>
      <c r="G403" s="2" t="s">
        <v>1433</v>
      </c>
      <c r="H403" s="2" t="s">
        <v>29</v>
      </c>
      <c r="I403" s="2" t="s">
        <v>51</v>
      </c>
      <c r="J403" s="2" t="s">
        <v>1574</v>
      </c>
      <c r="K403" s="2">
        <v>6</v>
      </c>
      <c r="L403" s="2" t="s">
        <v>77</v>
      </c>
      <c r="M403" s="2" t="s">
        <v>39</v>
      </c>
      <c r="N403" s="2">
        <v>538.68</v>
      </c>
    </row>
    <row r="404" spans="1:14">
      <c r="A404" s="2" t="s">
        <v>1575</v>
      </c>
      <c r="B404" s="2">
        <v>45025</v>
      </c>
      <c r="C404" s="2" t="s">
        <v>1576</v>
      </c>
      <c r="D404" s="2" t="s">
        <v>9</v>
      </c>
      <c r="E404" s="2">
        <v>5</v>
      </c>
      <c r="F404" s="2">
        <v>337.38</v>
      </c>
      <c r="G404" s="2" t="s">
        <v>1577</v>
      </c>
      <c r="H404" s="2" t="s">
        <v>66</v>
      </c>
      <c r="I404" s="2" t="s">
        <v>30</v>
      </c>
      <c r="J404" s="2" t="s">
        <v>1578</v>
      </c>
      <c r="K404" s="2">
        <v>5</v>
      </c>
      <c r="L404" s="2" t="s">
        <v>77</v>
      </c>
      <c r="M404" s="2" t="s">
        <v>39</v>
      </c>
      <c r="N404" s="2">
        <v>1686.9</v>
      </c>
    </row>
    <row r="405" spans="1:14">
      <c r="A405" s="2" t="s">
        <v>1579</v>
      </c>
      <c r="B405" s="2">
        <v>45606</v>
      </c>
      <c r="C405" s="2" t="s">
        <v>1580</v>
      </c>
      <c r="D405" s="2" t="s">
        <v>10</v>
      </c>
      <c r="E405" s="2">
        <v>1</v>
      </c>
      <c r="F405" s="2">
        <v>620.21</v>
      </c>
      <c r="G405" s="2" t="s">
        <v>1127</v>
      </c>
      <c r="H405" s="2" t="s">
        <v>37</v>
      </c>
      <c r="I405" s="2" t="s">
        <v>51</v>
      </c>
      <c r="J405" s="2" t="s">
        <v>1581</v>
      </c>
      <c r="K405" s="2">
        <v>1</v>
      </c>
      <c r="L405" s="2" t="s">
        <v>46</v>
      </c>
      <c r="M405" s="2" t="s">
        <v>39</v>
      </c>
      <c r="N405" s="2">
        <v>620.21</v>
      </c>
    </row>
    <row r="406" spans="1:14">
      <c r="A406" s="2" t="s">
        <v>1582</v>
      </c>
      <c r="B406" s="2">
        <v>44994</v>
      </c>
      <c r="C406" s="2" t="s">
        <v>1583</v>
      </c>
      <c r="D406" s="2" t="s">
        <v>7</v>
      </c>
      <c r="E406" s="2">
        <v>2</v>
      </c>
      <c r="F406" s="2">
        <v>99.1</v>
      </c>
      <c r="G406" s="2" t="s">
        <v>311</v>
      </c>
      <c r="H406" s="2" t="s">
        <v>71</v>
      </c>
      <c r="I406" s="2" t="s">
        <v>57</v>
      </c>
      <c r="J406" s="2" t="s">
        <v>1584</v>
      </c>
      <c r="K406" s="2">
        <v>6</v>
      </c>
      <c r="L406" s="2" t="s">
        <v>77</v>
      </c>
      <c r="M406" s="2" t="s">
        <v>33</v>
      </c>
      <c r="N406" s="2">
        <v>198.2</v>
      </c>
    </row>
    <row r="407" spans="1:14">
      <c r="A407" s="2" t="s">
        <v>1585</v>
      </c>
      <c r="B407" s="2">
        <v>45683</v>
      </c>
      <c r="C407" s="2" t="s">
        <v>1586</v>
      </c>
      <c r="D407" s="2" t="s">
        <v>7</v>
      </c>
      <c r="E407" s="2">
        <v>4</v>
      </c>
      <c r="F407" s="2">
        <v>451.97</v>
      </c>
      <c r="G407" s="2" t="s">
        <v>1450</v>
      </c>
      <c r="H407" s="2" t="s">
        <v>37</v>
      </c>
      <c r="I407" s="2" t="s">
        <v>44</v>
      </c>
      <c r="J407" s="2" t="s">
        <v>1587</v>
      </c>
      <c r="K407" s="2">
        <v>7</v>
      </c>
      <c r="L407" s="2" t="s">
        <v>87</v>
      </c>
      <c r="M407" s="2" t="s">
        <v>47</v>
      </c>
      <c r="N407" s="2">
        <v>1807.88</v>
      </c>
    </row>
    <row r="408" spans="1:14">
      <c r="A408" s="2" t="s">
        <v>1588</v>
      </c>
      <c r="B408" s="2">
        <v>45270</v>
      </c>
      <c r="C408" s="2" t="s">
        <v>1589</v>
      </c>
      <c r="D408" s="2" t="s">
        <v>10</v>
      </c>
      <c r="E408" s="2">
        <v>4</v>
      </c>
      <c r="F408" s="2">
        <v>66.1</v>
      </c>
      <c r="G408" s="2" t="s">
        <v>769</v>
      </c>
      <c r="H408" s="2" t="s">
        <v>71</v>
      </c>
      <c r="I408" s="2" t="s">
        <v>51</v>
      </c>
      <c r="J408" s="2" t="s">
        <v>1590</v>
      </c>
      <c r="K408" s="2">
        <v>9</v>
      </c>
      <c r="L408" s="2" t="s">
        <v>87</v>
      </c>
      <c r="M408" s="2" t="s">
        <v>82</v>
      </c>
      <c r="N408" s="2">
        <v>264.4</v>
      </c>
    </row>
    <row r="409" spans="1:14">
      <c r="A409" s="2" t="s">
        <v>1591</v>
      </c>
      <c r="B409" s="2">
        <v>45151</v>
      </c>
      <c r="C409" s="2" t="s">
        <v>1592</v>
      </c>
      <c r="D409" s="2" t="s">
        <v>10</v>
      </c>
      <c r="E409" s="2">
        <v>4</v>
      </c>
      <c r="F409" s="2">
        <v>547.32</v>
      </c>
      <c r="G409" s="2" t="s">
        <v>1060</v>
      </c>
      <c r="H409" s="2" t="s">
        <v>71</v>
      </c>
      <c r="I409" s="2" t="s">
        <v>51</v>
      </c>
      <c r="J409" s="2" t="s">
        <v>1593</v>
      </c>
      <c r="K409" s="2">
        <v>8</v>
      </c>
      <c r="L409" s="2" t="s">
        <v>46</v>
      </c>
      <c r="M409" s="2" t="s">
        <v>33</v>
      </c>
      <c r="N409" s="2">
        <v>2189.28</v>
      </c>
    </row>
    <row r="410" spans="1:14">
      <c r="A410" s="2" t="s">
        <v>1594</v>
      </c>
      <c r="B410" s="2">
        <v>45658</v>
      </c>
      <c r="C410" s="2" t="s">
        <v>1595</v>
      </c>
      <c r="D410" s="2" t="s">
        <v>9</v>
      </c>
      <c r="E410" s="2">
        <v>3</v>
      </c>
      <c r="F410" s="2">
        <v>412.53</v>
      </c>
      <c r="G410" s="2" t="s">
        <v>1596</v>
      </c>
      <c r="H410" s="2" t="s">
        <v>37</v>
      </c>
      <c r="I410" s="2" t="s">
        <v>95</v>
      </c>
      <c r="J410" s="2" t="s">
        <v>1597</v>
      </c>
      <c r="K410" s="2">
        <v>6</v>
      </c>
      <c r="L410" s="2" t="s">
        <v>87</v>
      </c>
      <c r="M410" s="2" t="s">
        <v>82</v>
      </c>
      <c r="N410" s="2">
        <v>1237.59</v>
      </c>
    </row>
    <row r="411" spans="1:14">
      <c r="A411" s="2" t="s">
        <v>1598</v>
      </c>
      <c r="B411" s="2">
        <v>45105</v>
      </c>
      <c r="C411" s="2" t="s">
        <v>1599</v>
      </c>
      <c r="D411" s="2" t="s">
        <v>5</v>
      </c>
      <c r="E411" s="2">
        <v>5</v>
      </c>
      <c r="F411" s="2">
        <v>84.13</v>
      </c>
      <c r="G411" s="2" t="s">
        <v>1600</v>
      </c>
      <c r="H411" s="2" t="s">
        <v>37</v>
      </c>
      <c r="I411" s="2" t="s">
        <v>57</v>
      </c>
      <c r="J411" s="2" t="s">
        <v>1601</v>
      </c>
      <c r="K411" s="2">
        <v>9</v>
      </c>
      <c r="L411" s="2" t="s">
        <v>32</v>
      </c>
      <c r="M411" s="2" t="s">
        <v>82</v>
      </c>
      <c r="N411" s="2">
        <v>420.65</v>
      </c>
    </row>
    <row r="412" spans="1:14">
      <c r="A412" s="2" t="s">
        <v>1602</v>
      </c>
      <c r="B412" s="2">
        <v>45309</v>
      </c>
      <c r="C412" s="2" t="s">
        <v>1603</v>
      </c>
      <c r="D412" s="2" t="s">
        <v>10</v>
      </c>
      <c r="E412" s="2">
        <v>2</v>
      </c>
      <c r="F412" s="2">
        <v>518.23</v>
      </c>
      <c r="G412" s="2" t="s">
        <v>1604</v>
      </c>
      <c r="H412" s="2" t="s">
        <v>29</v>
      </c>
      <c r="I412" s="2" t="s">
        <v>30</v>
      </c>
      <c r="J412" s="2" t="s">
        <v>1605</v>
      </c>
      <c r="K412" s="2">
        <v>5</v>
      </c>
      <c r="L412" s="2" t="s">
        <v>77</v>
      </c>
      <c r="M412" s="2" t="s">
        <v>47</v>
      </c>
      <c r="N412" s="2">
        <v>1036.46</v>
      </c>
    </row>
    <row r="413" spans="1:14">
      <c r="A413" s="2" t="s">
        <v>1606</v>
      </c>
      <c r="B413" s="2">
        <v>45462</v>
      </c>
      <c r="C413" s="2" t="s">
        <v>1607</v>
      </c>
      <c r="D413" s="2" t="s">
        <v>5</v>
      </c>
      <c r="E413" s="2">
        <v>2</v>
      </c>
      <c r="F413" s="2">
        <v>39.51</v>
      </c>
      <c r="G413" s="2" t="s">
        <v>636</v>
      </c>
      <c r="H413" s="2" t="s">
        <v>37</v>
      </c>
      <c r="I413" s="2" t="s">
        <v>30</v>
      </c>
      <c r="J413" s="2" t="s">
        <v>1608</v>
      </c>
      <c r="K413" s="2">
        <v>5</v>
      </c>
      <c r="L413" s="2" t="s">
        <v>77</v>
      </c>
      <c r="M413" s="2" t="s">
        <v>53</v>
      </c>
      <c r="N413" s="2">
        <v>79.02</v>
      </c>
    </row>
    <row r="414" spans="1:14">
      <c r="A414" s="2" t="s">
        <v>1609</v>
      </c>
      <c r="B414" s="2">
        <v>45758</v>
      </c>
      <c r="C414" s="2" t="s">
        <v>1610</v>
      </c>
      <c r="D414" s="2" t="s">
        <v>10</v>
      </c>
      <c r="E414" s="2">
        <v>5</v>
      </c>
      <c r="F414" s="2">
        <v>133.01</v>
      </c>
      <c r="G414" s="2" t="s">
        <v>1611</v>
      </c>
      <c r="H414" s="2" t="s">
        <v>43</v>
      </c>
      <c r="I414" s="2" t="s">
        <v>51</v>
      </c>
      <c r="J414" s="2" t="s">
        <v>1612</v>
      </c>
      <c r="K414" s="2">
        <v>10</v>
      </c>
      <c r="L414" s="2" t="s">
        <v>77</v>
      </c>
      <c r="M414" s="2" t="s">
        <v>53</v>
      </c>
      <c r="N414" s="2">
        <v>665.05</v>
      </c>
    </row>
    <row r="415" spans="1:14">
      <c r="A415" s="2" t="s">
        <v>1613</v>
      </c>
      <c r="B415" s="2">
        <v>45207</v>
      </c>
      <c r="C415" s="2" t="s">
        <v>1614</v>
      </c>
      <c r="D415" s="2" t="s">
        <v>10</v>
      </c>
      <c r="E415" s="2">
        <v>1</v>
      </c>
      <c r="F415" s="2">
        <v>118.8</v>
      </c>
      <c r="G415" s="2" t="s">
        <v>1615</v>
      </c>
      <c r="H415" s="2" t="s">
        <v>37</v>
      </c>
      <c r="I415" s="2" t="s">
        <v>57</v>
      </c>
      <c r="J415" s="2" t="s">
        <v>1616</v>
      </c>
      <c r="K415" s="2">
        <v>6</v>
      </c>
      <c r="L415" s="2" t="s">
        <v>32</v>
      </c>
      <c r="M415" s="2" t="s">
        <v>47</v>
      </c>
      <c r="N415" s="2">
        <v>118.8</v>
      </c>
    </row>
    <row r="416" spans="1:14">
      <c r="A416" s="2" t="s">
        <v>1617</v>
      </c>
      <c r="B416" s="2">
        <v>45781</v>
      </c>
      <c r="C416" s="2" t="s">
        <v>1618</v>
      </c>
      <c r="D416" s="2" t="s">
        <v>5</v>
      </c>
      <c r="E416" s="2">
        <v>2</v>
      </c>
      <c r="F416" s="2">
        <v>139.57</v>
      </c>
      <c r="G416" s="2" t="s">
        <v>1619</v>
      </c>
      <c r="H416" s="2" t="s">
        <v>71</v>
      </c>
      <c r="I416" s="2" t="s">
        <v>57</v>
      </c>
      <c r="J416" s="2" t="s">
        <v>1620</v>
      </c>
      <c r="K416" s="2">
        <v>4</v>
      </c>
      <c r="L416" s="2" t="s">
        <v>87</v>
      </c>
      <c r="M416" s="2" t="s">
        <v>53</v>
      </c>
      <c r="N416" s="2">
        <v>279.14</v>
      </c>
    </row>
    <row r="417" spans="1:14">
      <c r="A417" s="2" t="s">
        <v>1621</v>
      </c>
      <c r="B417" s="2">
        <v>45753</v>
      </c>
      <c r="C417" s="2" t="s">
        <v>1622</v>
      </c>
      <c r="D417" s="2" t="s">
        <v>4</v>
      </c>
      <c r="E417" s="2">
        <v>1</v>
      </c>
      <c r="F417" s="2">
        <v>184.15</v>
      </c>
      <c r="G417" s="2" t="s">
        <v>1080</v>
      </c>
      <c r="H417" s="2" t="s">
        <v>66</v>
      </c>
      <c r="I417" s="2" t="s">
        <v>30</v>
      </c>
      <c r="J417" s="2" t="s">
        <v>1623</v>
      </c>
      <c r="K417" s="2">
        <v>5</v>
      </c>
      <c r="L417" s="2" t="s">
        <v>46</v>
      </c>
      <c r="M417" s="2" t="s">
        <v>53</v>
      </c>
      <c r="N417" s="2">
        <v>184.15</v>
      </c>
    </row>
    <row r="418" spans="1:14">
      <c r="A418" s="2" t="s">
        <v>1624</v>
      </c>
      <c r="B418" s="2">
        <v>45125</v>
      </c>
      <c r="C418" s="2" t="s">
        <v>1625</v>
      </c>
      <c r="D418" s="2" t="s">
        <v>6</v>
      </c>
      <c r="E418" s="2">
        <v>2</v>
      </c>
      <c r="F418" s="2">
        <v>644.05</v>
      </c>
      <c r="G418" s="2" t="s">
        <v>1626</v>
      </c>
      <c r="H418" s="2" t="s">
        <v>66</v>
      </c>
      <c r="I418" s="2" t="s">
        <v>44</v>
      </c>
      <c r="J418" s="2" t="s">
        <v>1627</v>
      </c>
      <c r="K418" s="2">
        <v>5</v>
      </c>
      <c r="L418" s="2" t="s">
        <v>87</v>
      </c>
      <c r="M418" s="2" t="s">
        <v>39</v>
      </c>
      <c r="N418" s="2">
        <v>1288.1</v>
      </c>
    </row>
    <row r="419" spans="1:14">
      <c r="A419" s="2" t="s">
        <v>1628</v>
      </c>
      <c r="B419" s="2">
        <v>45223</v>
      </c>
      <c r="C419" s="2" t="s">
        <v>1629</v>
      </c>
      <c r="D419" s="2" t="s">
        <v>6</v>
      </c>
      <c r="E419" s="2">
        <v>5</v>
      </c>
      <c r="F419" s="2">
        <v>55.41</v>
      </c>
      <c r="G419" s="2" t="s">
        <v>1630</v>
      </c>
      <c r="H419" s="2" t="s">
        <v>37</v>
      </c>
      <c r="I419" s="2" t="s">
        <v>44</v>
      </c>
      <c r="J419" s="2" t="s">
        <v>1631</v>
      </c>
      <c r="K419" s="2">
        <v>5</v>
      </c>
      <c r="L419" s="2" t="s">
        <v>77</v>
      </c>
      <c r="M419" s="2" t="s">
        <v>82</v>
      </c>
      <c r="N419" s="2">
        <v>277.05</v>
      </c>
    </row>
    <row r="420" spans="1:14">
      <c r="A420" s="2" t="s">
        <v>1632</v>
      </c>
      <c r="B420" s="2">
        <v>44937</v>
      </c>
      <c r="C420" s="2" t="s">
        <v>1633</v>
      </c>
      <c r="D420" s="2" t="s">
        <v>9</v>
      </c>
      <c r="E420" s="2">
        <v>1</v>
      </c>
      <c r="F420" s="2">
        <v>310.93</v>
      </c>
      <c r="G420" s="2" t="s">
        <v>1634</v>
      </c>
      <c r="H420" s="2" t="s">
        <v>37</v>
      </c>
      <c r="I420" s="2" t="s">
        <v>44</v>
      </c>
      <c r="J420" s="2" t="s">
        <v>1635</v>
      </c>
      <c r="K420" s="2">
        <v>3</v>
      </c>
      <c r="L420" s="2" t="s">
        <v>77</v>
      </c>
      <c r="M420" s="2" t="s">
        <v>53</v>
      </c>
      <c r="N420" s="2">
        <v>310.93</v>
      </c>
    </row>
    <row r="421" spans="1:14">
      <c r="A421" s="2" t="s">
        <v>1636</v>
      </c>
      <c r="B421" s="2">
        <v>45399</v>
      </c>
      <c r="C421" s="2" t="s">
        <v>1637</v>
      </c>
      <c r="D421" s="2" t="s">
        <v>10</v>
      </c>
      <c r="E421" s="2">
        <v>2</v>
      </c>
      <c r="F421" s="2">
        <v>216.66</v>
      </c>
      <c r="G421" s="2" t="s">
        <v>1382</v>
      </c>
      <c r="H421" s="2" t="s">
        <v>29</v>
      </c>
      <c r="I421" s="2" t="s">
        <v>95</v>
      </c>
      <c r="J421" s="2" t="s">
        <v>1638</v>
      </c>
      <c r="K421" s="2">
        <v>6</v>
      </c>
      <c r="L421" s="2" t="s">
        <v>46</v>
      </c>
      <c r="M421" s="2" t="s">
        <v>33</v>
      </c>
      <c r="N421" s="2">
        <v>433.32</v>
      </c>
    </row>
    <row r="422" spans="1:14">
      <c r="A422" s="2" t="s">
        <v>1639</v>
      </c>
      <c r="B422" s="2">
        <v>45625</v>
      </c>
      <c r="C422" s="2" t="s">
        <v>1640</v>
      </c>
      <c r="D422" s="2" t="s">
        <v>8</v>
      </c>
      <c r="E422" s="2">
        <v>1</v>
      </c>
      <c r="F422" s="2">
        <v>452.7</v>
      </c>
      <c r="G422" s="2" t="s">
        <v>1641</v>
      </c>
      <c r="H422" s="2" t="s">
        <v>29</v>
      </c>
      <c r="I422" s="2" t="s">
        <v>30</v>
      </c>
      <c r="J422" s="2" t="s">
        <v>1642</v>
      </c>
      <c r="K422" s="2">
        <v>5</v>
      </c>
      <c r="L422" s="2" t="s">
        <v>46</v>
      </c>
      <c r="M422" s="2" t="s">
        <v>33</v>
      </c>
      <c r="N422" s="2">
        <v>452.7</v>
      </c>
    </row>
    <row r="423" spans="1:14">
      <c r="A423" s="2" t="s">
        <v>1643</v>
      </c>
      <c r="B423" s="2">
        <v>45214</v>
      </c>
      <c r="C423" s="2" t="s">
        <v>1644</v>
      </c>
      <c r="D423" s="2" t="s">
        <v>4</v>
      </c>
      <c r="E423" s="2">
        <v>2</v>
      </c>
      <c r="F423" s="2">
        <v>288.21</v>
      </c>
      <c r="G423" s="2" t="s">
        <v>1645</v>
      </c>
      <c r="H423" s="2" t="s">
        <v>29</v>
      </c>
      <c r="I423" s="2" t="s">
        <v>44</v>
      </c>
      <c r="J423" s="2" t="s">
        <v>1646</v>
      </c>
      <c r="K423" s="2">
        <v>5</v>
      </c>
      <c r="L423" s="2" t="s">
        <v>77</v>
      </c>
      <c r="M423" s="2" t="s">
        <v>47</v>
      </c>
      <c r="N423" s="2">
        <v>576.42</v>
      </c>
    </row>
    <row r="424" spans="1:14">
      <c r="A424" s="2" t="s">
        <v>1647</v>
      </c>
      <c r="B424" s="2">
        <v>45082</v>
      </c>
      <c r="C424" s="2" t="s">
        <v>1648</v>
      </c>
      <c r="D424" s="2" t="s">
        <v>8</v>
      </c>
      <c r="E424" s="2">
        <v>4</v>
      </c>
      <c r="F424" s="2">
        <v>206.6</v>
      </c>
      <c r="G424" s="2" t="s">
        <v>111</v>
      </c>
      <c r="H424" s="2" t="s">
        <v>66</v>
      </c>
      <c r="I424" s="2" t="s">
        <v>51</v>
      </c>
      <c r="J424" s="2" t="s">
        <v>1649</v>
      </c>
      <c r="K424" s="2">
        <v>6</v>
      </c>
      <c r="L424" s="2" t="s">
        <v>87</v>
      </c>
      <c r="M424" s="2" t="s">
        <v>39</v>
      </c>
      <c r="N424" s="2">
        <v>826.4</v>
      </c>
    </row>
    <row r="425" spans="1:14">
      <c r="A425" s="2" t="s">
        <v>1650</v>
      </c>
      <c r="B425" s="2">
        <v>45493</v>
      </c>
      <c r="C425" s="2" t="s">
        <v>1651</v>
      </c>
      <c r="D425" s="2" t="s">
        <v>9</v>
      </c>
      <c r="E425" s="2">
        <v>4</v>
      </c>
      <c r="F425" s="2">
        <v>685.2</v>
      </c>
      <c r="G425" s="2" t="s">
        <v>1131</v>
      </c>
      <c r="H425" s="2" t="s">
        <v>66</v>
      </c>
      <c r="I425" s="2" t="s">
        <v>44</v>
      </c>
      <c r="J425" s="2" t="s">
        <v>1652</v>
      </c>
      <c r="K425" s="2">
        <v>6</v>
      </c>
      <c r="L425" s="2" t="s">
        <v>87</v>
      </c>
      <c r="M425" s="2" t="s">
        <v>82</v>
      </c>
      <c r="N425" s="2">
        <v>2740.8</v>
      </c>
    </row>
    <row r="426" spans="1:14">
      <c r="A426" s="2" t="s">
        <v>1653</v>
      </c>
      <c r="B426" s="2">
        <v>45028</v>
      </c>
      <c r="C426" s="2" t="s">
        <v>1654</v>
      </c>
      <c r="D426" s="2" t="s">
        <v>4</v>
      </c>
      <c r="E426" s="2">
        <v>5</v>
      </c>
      <c r="F426" s="2">
        <v>22.94</v>
      </c>
      <c r="G426" s="2" t="s">
        <v>1266</v>
      </c>
      <c r="H426" s="2" t="s">
        <v>71</v>
      </c>
      <c r="I426" s="2" t="s">
        <v>95</v>
      </c>
      <c r="J426" s="2" t="s">
        <v>1655</v>
      </c>
      <c r="K426" s="2">
        <v>10</v>
      </c>
      <c r="L426" s="2" t="s">
        <v>77</v>
      </c>
      <c r="M426" s="2" t="s">
        <v>47</v>
      </c>
      <c r="N426" s="2">
        <v>114.7</v>
      </c>
    </row>
    <row r="427" spans="1:14">
      <c r="A427" s="2" t="s">
        <v>1656</v>
      </c>
      <c r="B427" s="2">
        <v>44994</v>
      </c>
      <c r="C427" s="2" t="s">
        <v>1657</v>
      </c>
      <c r="D427" s="2" t="s">
        <v>6</v>
      </c>
      <c r="E427" s="2">
        <v>2</v>
      </c>
      <c r="F427" s="2">
        <v>301.88</v>
      </c>
      <c r="G427" s="2" t="s">
        <v>1658</v>
      </c>
      <c r="H427" s="2" t="s">
        <v>66</v>
      </c>
      <c r="I427" s="2" t="s">
        <v>51</v>
      </c>
      <c r="J427" s="2" t="s">
        <v>1659</v>
      </c>
      <c r="K427" s="2">
        <v>5</v>
      </c>
      <c r="L427" s="2" t="s">
        <v>87</v>
      </c>
      <c r="M427" s="2" t="s">
        <v>47</v>
      </c>
      <c r="N427" s="2">
        <v>603.76</v>
      </c>
    </row>
    <row r="428" spans="1:14">
      <c r="A428" s="2" t="s">
        <v>1660</v>
      </c>
      <c r="B428" s="2">
        <v>45732</v>
      </c>
      <c r="C428" s="2" t="s">
        <v>1661</v>
      </c>
      <c r="D428" s="2" t="s">
        <v>7</v>
      </c>
      <c r="E428" s="2">
        <v>5</v>
      </c>
      <c r="F428" s="2">
        <v>57.45</v>
      </c>
      <c r="G428" s="2" t="s">
        <v>1662</v>
      </c>
      <c r="H428" s="2" t="s">
        <v>71</v>
      </c>
      <c r="I428" s="2" t="s">
        <v>44</v>
      </c>
      <c r="J428" s="2" t="s">
        <v>1663</v>
      </c>
      <c r="K428" s="2">
        <v>10</v>
      </c>
      <c r="L428" s="2" t="s">
        <v>77</v>
      </c>
      <c r="M428" s="2" t="s">
        <v>53</v>
      </c>
      <c r="N428" s="2">
        <v>287.25</v>
      </c>
    </row>
    <row r="429" spans="1:14">
      <c r="A429" s="2" t="s">
        <v>1664</v>
      </c>
      <c r="B429" s="2">
        <v>45644</v>
      </c>
      <c r="C429" s="2" t="s">
        <v>1665</v>
      </c>
      <c r="D429" s="2" t="s">
        <v>5</v>
      </c>
      <c r="E429" s="2">
        <v>1</v>
      </c>
      <c r="F429" s="2">
        <v>161.24</v>
      </c>
      <c r="G429" s="2" t="s">
        <v>1666</v>
      </c>
      <c r="H429" s="2" t="s">
        <v>43</v>
      </c>
      <c r="I429" s="2" t="s">
        <v>95</v>
      </c>
      <c r="J429" s="2" t="s">
        <v>1667</v>
      </c>
      <c r="K429" s="2">
        <v>3</v>
      </c>
      <c r="L429" s="2" t="s">
        <v>87</v>
      </c>
      <c r="M429" s="2" t="s">
        <v>33</v>
      </c>
      <c r="N429" s="2">
        <v>161.24</v>
      </c>
    </row>
    <row r="430" spans="1:14">
      <c r="A430" s="2" t="s">
        <v>1668</v>
      </c>
      <c r="B430" s="2">
        <v>45622</v>
      </c>
      <c r="C430" s="2" t="s">
        <v>1669</v>
      </c>
      <c r="D430" s="2" t="s">
        <v>4</v>
      </c>
      <c r="E430" s="2">
        <v>4</v>
      </c>
      <c r="F430" s="2">
        <v>262.58</v>
      </c>
      <c r="G430" s="2" t="s">
        <v>167</v>
      </c>
      <c r="H430" s="2" t="s">
        <v>37</v>
      </c>
      <c r="I430" s="2" t="s">
        <v>44</v>
      </c>
      <c r="J430" s="2" t="s">
        <v>1670</v>
      </c>
      <c r="K430" s="2">
        <v>8</v>
      </c>
      <c r="L430" s="2" t="s">
        <v>87</v>
      </c>
      <c r="M430" s="2" t="s">
        <v>47</v>
      </c>
      <c r="N430" s="2">
        <v>1050.32</v>
      </c>
    </row>
    <row r="431" spans="1:14">
      <c r="A431" s="2" t="s">
        <v>1671</v>
      </c>
      <c r="B431" s="2">
        <v>45645</v>
      </c>
      <c r="C431" s="2" t="s">
        <v>1672</v>
      </c>
      <c r="D431" s="2" t="s">
        <v>9</v>
      </c>
      <c r="E431" s="2">
        <v>4</v>
      </c>
      <c r="F431" s="2">
        <v>515.19</v>
      </c>
      <c r="G431" s="2" t="s">
        <v>472</v>
      </c>
      <c r="H431" s="2" t="s">
        <v>43</v>
      </c>
      <c r="I431" s="2" t="s">
        <v>95</v>
      </c>
      <c r="J431" s="2" t="s">
        <v>1673</v>
      </c>
      <c r="K431" s="2">
        <v>9</v>
      </c>
      <c r="L431" s="2" t="s">
        <v>32</v>
      </c>
      <c r="M431" s="2" t="s">
        <v>53</v>
      </c>
      <c r="N431" s="2">
        <v>2060.76</v>
      </c>
    </row>
    <row r="432" spans="1:14">
      <c r="A432" s="2" t="s">
        <v>1674</v>
      </c>
      <c r="B432" s="2">
        <v>45084</v>
      </c>
      <c r="C432" s="2" t="s">
        <v>1675</v>
      </c>
      <c r="D432" s="2" t="s">
        <v>8</v>
      </c>
      <c r="E432" s="2">
        <v>1</v>
      </c>
      <c r="F432" s="2">
        <v>450.07</v>
      </c>
      <c r="G432" s="2" t="s">
        <v>1676</v>
      </c>
      <c r="H432" s="2" t="s">
        <v>66</v>
      </c>
      <c r="I432" s="2" t="s">
        <v>30</v>
      </c>
      <c r="J432" s="2" t="s">
        <v>1677</v>
      </c>
      <c r="K432" s="2">
        <v>6</v>
      </c>
      <c r="L432" s="2" t="s">
        <v>46</v>
      </c>
      <c r="M432" s="2" t="s">
        <v>82</v>
      </c>
      <c r="N432" s="2">
        <v>450.07</v>
      </c>
    </row>
    <row r="433" spans="1:14">
      <c r="A433" s="2" t="s">
        <v>1678</v>
      </c>
      <c r="B433" s="2">
        <v>45571</v>
      </c>
      <c r="C433" s="2" t="s">
        <v>1679</v>
      </c>
      <c r="D433" s="2" t="s">
        <v>9</v>
      </c>
      <c r="E433" s="2">
        <v>1</v>
      </c>
      <c r="F433" s="2">
        <v>52.54</v>
      </c>
      <c r="G433" s="2" t="s">
        <v>658</v>
      </c>
      <c r="H433" s="2" t="s">
        <v>29</v>
      </c>
      <c r="I433" s="2" t="s">
        <v>44</v>
      </c>
      <c r="J433" s="2" t="s">
        <v>1680</v>
      </c>
      <c r="K433" s="2">
        <v>6</v>
      </c>
      <c r="L433" s="2" t="s">
        <v>87</v>
      </c>
      <c r="M433" s="2" t="s">
        <v>53</v>
      </c>
      <c r="N433" s="2">
        <v>52.54</v>
      </c>
    </row>
    <row r="434" spans="1:14">
      <c r="A434" s="2" t="s">
        <v>1681</v>
      </c>
      <c r="B434" s="2">
        <v>45173</v>
      </c>
      <c r="C434" s="2" t="s">
        <v>1682</v>
      </c>
      <c r="D434" s="2" t="s">
        <v>10</v>
      </c>
      <c r="E434" s="2">
        <v>2</v>
      </c>
      <c r="F434" s="2">
        <v>424.32</v>
      </c>
      <c r="G434" s="2" t="s">
        <v>1683</v>
      </c>
      <c r="H434" s="2" t="s">
        <v>43</v>
      </c>
      <c r="I434" s="2" t="s">
        <v>51</v>
      </c>
      <c r="J434" s="2" t="s">
        <v>1684</v>
      </c>
      <c r="K434" s="2">
        <v>6</v>
      </c>
      <c r="L434" s="2" t="s">
        <v>77</v>
      </c>
      <c r="M434" s="2" t="s">
        <v>39</v>
      </c>
      <c r="N434" s="2">
        <v>848.64</v>
      </c>
    </row>
    <row r="435" spans="1:14">
      <c r="A435" s="2" t="s">
        <v>1685</v>
      </c>
      <c r="B435" s="2">
        <v>45164</v>
      </c>
      <c r="C435" s="2" t="s">
        <v>1686</v>
      </c>
      <c r="D435" s="2" t="s">
        <v>7</v>
      </c>
      <c r="E435" s="2">
        <v>3</v>
      </c>
      <c r="F435" s="2">
        <v>631.64</v>
      </c>
      <c r="G435" s="2" t="s">
        <v>1002</v>
      </c>
      <c r="H435" s="2" t="s">
        <v>43</v>
      </c>
      <c r="I435" s="2" t="s">
        <v>51</v>
      </c>
      <c r="J435" s="2" t="s">
        <v>1687</v>
      </c>
      <c r="K435" s="2">
        <v>3</v>
      </c>
      <c r="L435" s="2" t="s">
        <v>46</v>
      </c>
      <c r="M435" s="2" t="s">
        <v>53</v>
      </c>
      <c r="N435" s="2">
        <v>1894.92</v>
      </c>
    </row>
    <row r="436" spans="1:14">
      <c r="A436" s="2" t="s">
        <v>1688</v>
      </c>
      <c r="B436" s="2">
        <v>45221</v>
      </c>
      <c r="C436" s="2" t="s">
        <v>1689</v>
      </c>
      <c r="D436" s="2" t="s">
        <v>9</v>
      </c>
      <c r="E436" s="2">
        <v>5</v>
      </c>
      <c r="F436" s="2">
        <v>327.68</v>
      </c>
      <c r="G436" s="2" t="s">
        <v>322</v>
      </c>
      <c r="H436" s="2" t="s">
        <v>43</v>
      </c>
      <c r="I436" s="2" t="s">
        <v>51</v>
      </c>
      <c r="J436" s="2" t="s">
        <v>1690</v>
      </c>
      <c r="K436" s="2">
        <v>6</v>
      </c>
      <c r="L436" s="2" t="s">
        <v>77</v>
      </c>
      <c r="M436" s="2" t="s">
        <v>53</v>
      </c>
      <c r="N436" s="2">
        <v>1638.4</v>
      </c>
    </row>
    <row r="437" spans="1:14">
      <c r="A437" s="2" t="s">
        <v>1691</v>
      </c>
      <c r="B437" s="2">
        <v>45073</v>
      </c>
      <c r="C437" s="2" t="s">
        <v>1692</v>
      </c>
      <c r="D437" s="2" t="s">
        <v>9</v>
      </c>
      <c r="E437" s="2">
        <v>1</v>
      </c>
      <c r="F437" s="2">
        <v>414.47</v>
      </c>
      <c r="G437" s="2" t="s">
        <v>1262</v>
      </c>
      <c r="H437" s="2" t="s">
        <v>29</v>
      </c>
      <c r="I437" s="2" t="s">
        <v>51</v>
      </c>
      <c r="J437" s="2" t="s">
        <v>1693</v>
      </c>
      <c r="K437" s="2">
        <v>3</v>
      </c>
      <c r="L437" s="2" t="s">
        <v>46</v>
      </c>
      <c r="M437" s="2" t="s">
        <v>33</v>
      </c>
      <c r="N437" s="2">
        <v>414.47</v>
      </c>
    </row>
    <row r="438" spans="1:14">
      <c r="A438" s="2" t="s">
        <v>1694</v>
      </c>
      <c r="B438" s="2">
        <v>44968</v>
      </c>
      <c r="C438" s="2" t="s">
        <v>1695</v>
      </c>
      <c r="D438" s="2" t="s">
        <v>6</v>
      </c>
      <c r="E438" s="2">
        <v>4</v>
      </c>
      <c r="F438" s="2">
        <v>221.33</v>
      </c>
      <c r="G438" s="2" t="s">
        <v>658</v>
      </c>
      <c r="H438" s="2" t="s">
        <v>37</v>
      </c>
      <c r="I438" s="2" t="s">
        <v>95</v>
      </c>
      <c r="J438" s="2" t="s">
        <v>1696</v>
      </c>
      <c r="K438" s="2">
        <v>5</v>
      </c>
      <c r="L438" s="2" t="s">
        <v>77</v>
      </c>
      <c r="M438" s="2" t="s">
        <v>82</v>
      </c>
      <c r="N438" s="2">
        <v>885.32</v>
      </c>
    </row>
    <row r="439" spans="1:14">
      <c r="A439" s="2" t="s">
        <v>1697</v>
      </c>
      <c r="B439" s="2">
        <v>45400</v>
      </c>
      <c r="C439" s="2" t="s">
        <v>1698</v>
      </c>
      <c r="D439" s="2" t="s">
        <v>8</v>
      </c>
      <c r="E439" s="2">
        <v>1</v>
      </c>
      <c r="F439" s="2">
        <v>512.39</v>
      </c>
      <c r="G439" s="2" t="s">
        <v>1699</v>
      </c>
      <c r="H439" s="2" t="s">
        <v>37</v>
      </c>
      <c r="I439" s="2" t="s">
        <v>57</v>
      </c>
      <c r="J439" s="2" t="s">
        <v>1700</v>
      </c>
      <c r="K439" s="2">
        <v>2</v>
      </c>
      <c r="L439" s="2" t="s">
        <v>46</v>
      </c>
      <c r="M439" s="2" t="s">
        <v>33</v>
      </c>
      <c r="N439" s="2">
        <v>512.39</v>
      </c>
    </row>
    <row r="440" spans="1:14">
      <c r="A440" s="2" t="s">
        <v>1701</v>
      </c>
      <c r="B440" s="2">
        <v>45660</v>
      </c>
      <c r="C440" s="2" t="s">
        <v>1702</v>
      </c>
      <c r="D440" s="2" t="s">
        <v>10</v>
      </c>
      <c r="E440" s="2">
        <v>3</v>
      </c>
      <c r="F440" s="2">
        <v>459.34</v>
      </c>
      <c r="G440" s="2" t="s">
        <v>1703</v>
      </c>
      <c r="H440" s="2" t="s">
        <v>66</v>
      </c>
      <c r="I440" s="2" t="s">
        <v>95</v>
      </c>
      <c r="J440" s="2" t="s">
        <v>1704</v>
      </c>
      <c r="K440" s="2">
        <v>3</v>
      </c>
      <c r="L440" s="2" t="s">
        <v>32</v>
      </c>
      <c r="M440" s="2" t="s">
        <v>33</v>
      </c>
      <c r="N440" s="2">
        <v>1378.02</v>
      </c>
    </row>
    <row r="441" spans="1:14">
      <c r="A441" s="2" t="s">
        <v>1705</v>
      </c>
      <c r="B441" s="2">
        <v>45543</v>
      </c>
      <c r="C441" s="2" t="s">
        <v>1706</v>
      </c>
      <c r="D441" s="2" t="s">
        <v>10</v>
      </c>
      <c r="E441" s="2">
        <v>1</v>
      </c>
      <c r="F441" s="2">
        <v>146.32</v>
      </c>
      <c r="G441" s="2" t="s">
        <v>1707</v>
      </c>
      <c r="H441" s="2" t="s">
        <v>37</v>
      </c>
      <c r="I441" s="2" t="s">
        <v>30</v>
      </c>
      <c r="J441" s="2" t="s">
        <v>1708</v>
      </c>
      <c r="K441" s="2">
        <v>4</v>
      </c>
      <c r="L441" s="2" t="s">
        <v>87</v>
      </c>
      <c r="M441" s="2" t="s">
        <v>53</v>
      </c>
      <c r="N441" s="2">
        <v>146.32</v>
      </c>
    </row>
    <row r="442" spans="1:14">
      <c r="A442" s="2" t="s">
        <v>1709</v>
      </c>
      <c r="B442" s="2">
        <v>45601</v>
      </c>
      <c r="C442" s="2" t="s">
        <v>1710</v>
      </c>
      <c r="D442" s="2" t="s">
        <v>5</v>
      </c>
      <c r="E442" s="2">
        <v>4</v>
      </c>
      <c r="F442" s="2">
        <v>83.6</v>
      </c>
      <c r="G442" s="2" t="s">
        <v>1250</v>
      </c>
      <c r="H442" s="2" t="s">
        <v>29</v>
      </c>
      <c r="I442" s="2" t="s">
        <v>95</v>
      </c>
      <c r="J442" s="2" t="s">
        <v>1711</v>
      </c>
      <c r="K442" s="2">
        <v>4</v>
      </c>
      <c r="L442" s="2" t="s">
        <v>32</v>
      </c>
      <c r="M442" s="2" t="s">
        <v>53</v>
      </c>
      <c r="N442" s="2">
        <v>334.4</v>
      </c>
    </row>
    <row r="443" spans="1:14">
      <c r="A443" s="2" t="s">
        <v>1712</v>
      </c>
      <c r="B443" s="2">
        <v>45273</v>
      </c>
      <c r="C443" s="2" t="s">
        <v>1713</v>
      </c>
      <c r="D443" s="2" t="s">
        <v>9</v>
      </c>
      <c r="E443" s="2">
        <v>2</v>
      </c>
      <c r="F443" s="2">
        <v>328.54</v>
      </c>
      <c r="G443" s="2" t="s">
        <v>1714</v>
      </c>
      <c r="H443" s="2" t="s">
        <v>66</v>
      </c>
      <c r="I443" s="2" t="s">
        <v>51</v>
      </c>
      <c r="J443" s="2" t="s">
        <v>1715</v>
      </c>
      <c r="K443" s="2">
        <v>6</v>
      </c>
      <c r="L443" s="2" t="s">
        <v>46</v>
      </c>
      <c r="M443" s="2" t="s">
        <v>47</v>
      </c>
      <c r="N443" s="2">
        <v>657.08</v>
      </c>
    </row>
    <row r="444" spans="1:14">
      <c r="A444" s="2" t="s">
        <v>1716</v>
      </c>
      <c r="B444" s="2">
        <v>45418</v>
      </c>
      <c r="C444" s="2" t="s">
        <v>1717</v>
      </c>
      <c r="D444" s="2" t="s">
        <v>4</v>
      </c>
      <c r="E444" s="2">
        <v>5</v>
      </c>
      <c r="F444" s="2">
        <v>314.94</v>
      </c>
      <c r="G444" s="2" t="s">
        <v>1718</v>
      </c>
      <c r="H444" s="2" t="s">
        <v>71</v>
      </c>
      <c r="I444" s="2" t="s">
        <v>95</v>
      </c>
      <c r="J444" s="2" t="s">
        <v>1719</v>
      </c>
      <c r="K444" s="2">
        <v>8</v>
      </c>
      <c r="L444" s="2" t="s">
        <v>32</v>
      </c>
      <c r="M444" s="2" t="s">
        <v>33</v>
      </c>
      <c r="N444" s="2">
        <v>1574.7</v>
      </c>
    </row>
    <row r="445" spans="1:14">
      <c r="A445" s="2" t="s">
        <v>1720</v>
      </c>
      <c r="B445" s="2">
        <v>45426</v>
      </c>
      <c r="C445" s="2" t="s">
        <v>1721</v>
      </c>
      <c r="D445" s="2" t="s">
        <v>4</v>
      </c>
      <c r="E445" s="2">
        <v>2</v>
      </c>
      <c r="F445" s="2">
        <v>69.64</v>
      </c>
      <c r="G445" s="2" t="s">
        <v>295</v>
      </c>
      <c r="H445" s="2" t="s">
        <v>71</v>
      </c>
      <c r="I445" s="2" t="s">
        <v>51</v>
      </c>
      <c r="J445" s="2" t="s">
        <v>1722</v>
      </c>
      <c r="K445" s="2">
        <v>6</v>
      </c>
      <c r="L445" s="2" t="s">
        <v>77</v>
      </c>
      <c r="M445" s="2" t="s">
        <v>53</v>
      </c>
      <c r="N445" s="2">
        <v>139.28</v>
      </c>
    </row>
    <row r="446" spans="1:14">
      <c r="A446" s="2" t="s">
        <v>1723</v>
      </c>
      <c r="B446" s="2">
        <v>45451</v>
      </c>
      <c r="C446" s="2" t="s">
        <v>1724</v>
      </c>
      <c r="D446" s="2" t="s">
        <v>9</v>
      </c>
      <c r="E446" s="2">
        <v>1</v>
      </c>
      <c r="F446" s="2">
        <v>135.17</v>
      </c>
      <c r="G446" s="2" t="s">
        <v>1725</v>
      </c>
      <c r="H446" s="2" t="s">
        <v>37</v>
      </c>
      <c r="I446" s="2" t="s">
        <v>30</v>
      </c>
      <c r="J446" s="2" t="s">
        <v>1726</v>
      </c>
      <c r="K446" s="2">
        <v>6</v>
      </c>
      <c r="L446" s="2" t="s">
        <v>46</v>
      </c>
      <c r="M446" s="2" t="s">
        <v>33</v>
      </c>
      <c r="N446" s="2">
        <v>135.17</v>
      </c>
    </row>
    <row r="447" spans="1:14">
      <c r="A447" s="2" t="s">
        <v>1727</v>
      </c>
      <c r="B447" s="2">
        <v>45374</v>
      </c>
      <c r="C447" s="2" t="s">
        <v>1728</v>
      </c>
      <c r="D447" s="2" t="s">
        <v>8</v>
      </c>
      <c r="E447" s="2">
        <v>1</v>
      </c>
      <c r="F447" s="2">
        <v>487.21</v>
      </c>
      <c r="G447" s="2" t="s">
        <v>1729</v>
      </c>
      <c r="H447" s="2" t="s">
        <v>71</v>
      </c>
      <c r="I447" s="2" t="s">
        <v>57</v>
      </c>
      <c r="J447" s="2" t="s">
        <v>1730</v>
      </c>
      <c r="K447" s="2">
        <v>3</v>
      </c>
      <c r="L447" s="2" t="s">
        <v>32</v>
      </c>
      <c r="M447" s="2" t="s">
        <v>39</v>
      </c>
      <c r="N447" s="2">
        <v>487.21</v>
      </c>
    </row>
    <row r="448" spans="1:14">
      <c r="A448" s="2" t="s">
        <v>1731</v>
      </c>
      <c r="B448" s="2">
        <v>45217</v>
      </c>
      <c r="C448" s="2" t="s">
        <v>1732</v>
      </c>
      <c r="D448" s="2" t="s">
        <v>6</v>
      </c>
      <c r="E448" s="2">
        <v>5</v>
      </c>
      <c r="F448" s="2">
        <v>509.58</v>
      </c>
      <c r="G448" s="2" t="s">
        <v>1733</v>
      </c>
      <c r="H448" s="2" t="s">
        <v>37</v>
      </c>
      <c r="I448" s="2" t="s">
        <v>57</v>
      </c>
      <c r="J448" s="2" t="s">
        <v>1734</v>
      </c>
      <c r="K448" s="2">
        <v>6</v>
      </c>
      <c r="L448" s="2" t="s">
        <v>46</v>
      </c>
      <c r="M448" s="2" t="s">
        <v>33</v>
      </c>
      <c r="N448" s="2">
        <v>2547.9</v>
      </c>
    </row>
    <row r="449" spans="1:14">
      <c r="A449" s="2" t="s">
        <v>1735</v>
      </c>
      <c r="B449" s="2">
        <v>45389</v>
      </c>
      <c r="C449" s="2" t="s">
        <v>1736</v>
      </c>
      <c r="D449" s="2" t="s">
        <v>9</v>
      </c>
      <c r="E449" s="2">
        <v>2</v>
      </c>
      <c r="F449" s="2">
        <v>416.81</v>
      </c>
      <c r="G449" s="2" t="s">
        <v>1737</v>
      </c>
      <c r="H449" s="2" t="s">
        <v>71</v>
      </c>
      <c r="I449" s="2" t="s">
        <v>51</v>
      </c>
      <c r="J449" s="2" t="s">
        <v>1738</v>
      </c>
      <c r="K449" s="2">
        <v>2</v>
      </c>
      <c r="L449" s="2" t="s">
        <v>77</v>
      </c>
      <c r="M449" s="2" t="s">
        <v>53</v>
      </c>
      <c r="N449" s="2">
        <v>833.62</v>
      </c>
    </row>
    <row r="450" spans="1:14">
      <c r="A450" s="2" t="s">
        <v>1739</v>
      </c>
      <c r="B450" s="2">
        <v>45173</v>
      </c>
      <c r="C450" s="2" t="s">
        <v>1740</v>
      </c>
      <c r="D450" s="2" t="s">
        <v>6</v>
      </c>
      <c r="E450" s="2">
        <v>2</v>
      </c>
      <c r="F450" s="2">
        <v>160</v>
      </c>
      <c r="G450" s="2" t="s">
        <v>1741</v>
      </c>
      <c r="H450" s="2" t="s">
        <v>71</v>
      </c>
      <c r="I450" s="2" t="s">
        <v>95</v>
      </c>
      <c r="J450" s="2" t="s">
        <v>1742</v>
      </c>
      <c r="K450" s="2">
        <v>4</v>
      </c>
      <c r="L450" s="2" t="s">
        <v>32</v>
      </c>
      <c r="M450" s="2" t="s">
        <v>33</v>
      </c>
      <c r="N450" s="2">
        <v>320</v>
      </c>
    </row>
    <row r="451" spans="1:14">
      <c r="A451" s="2" t="s">
        <v>1743</v>
      </c>
      <c r="B451" s="2">
        <v>45530</v>
      </c>
      <c r="C451" s="2" t="s">
        <v>1744</v>
      </c>
      <c r="D451" s="2" t="s">
        <v>10</v>
      </c>
      <c r="E451" s="2">
        <v>3</v>
      </c>
      <c r="F451" s="2">
        <v>253.05</v>
      </c>
      <c r="G451" s="2" t="s">
        <v>1745</v>
      </c>
      <c r="H451" s="2" t="s">
        <v>37</v>
      </c>
      <c r="I451" s="2" t="s">
        <v>95</v>
      </c>
      <c r="J451" s="2" t="s">
        <v>1746</v>
      </c>
      <c r="K451" s="2">
        <v>3</v>
      </c>
      <c r="L451" s="2" t="s">
        <v>77</v>
      </c>
      <c r="M451" s="2" t="s">
        <v>33</v>
      </c>
      <c r="N451" s="2">
        <v>759.15</v>
      </c>
    </row>
    <row r="452" spans="1:14">
      <c r="A452" s="2" t="s">
        <v>1747</v>
      </c>
      <c r="B452" s="2">
        <v>45306</v>
      </c>
      <c r="C452" s="2" t="s">
        <v>1748</v>
      </c>
      <c r="D452" s="2" t="s">
        <v>7</v>
      </c>
      <c r="E452" s="2">
        <v>5</v>
      </c>
      <c r="F452" s="2">
        <v>615.1</v>
      </c>
      <c r="G452" s="2" t="s">
        <v>1749</v>
      </c>
      <c r="H452" s="2" t="s">
        <v>66</v>
      </c>
      <c r="I452" s="2" t="s">
        <v>51</v>
      </c>
      <c r="J452" s="2" t="s">
        <v>1750</v>
      </c>
      <c r="K452" s="2">
        <v>10</v>
      </c>
      <c r="L452" s="2" t="s">
        <v>87</v>
      </c>
      <c r="M452" s="2" t="s">
        <v>33</v>
      </c>
      <c r="N452" s="2">
        <v>3075.5</v>
      </c>
    </row>
    <row r="453" spans="1:14">
      <c r="A453" s="2" t="s">
        <v>1751</v>
      </c>
      <c r="B453" s="2">
        <v>45017</v>
      </c>
      <c r="C453" s="2" t="s">
        <v>1752</v>
      </c>
      <c r="D453" s="2" t="s">
        <v>7</v>
      </c>
      <c r="E453" s="2">
        <v>1</v>
      </c>
      <c r="F453" s="2">
        <v>183.18</v>
      </c>
      <c r="G453" s="2" t="s">
        <v>456</v>
      </c>
      <c r="H453" s="2" t="s">
        <v>29</v>
      </c>
      <c r="I453" s="2" t="s">
        <v>44</v>
      </c>
      <c r="J453" s="2" t="s">
        <v>1753</v>
      </c>
      <c r="K453" s="2">
        <v>6</v>
      </c>
      <c r="L453" s="2" t="s">
        <v>32</v>
      </c>
      <c r="M453" s="2" t="s">
        <v>47</v>
      </c>
      <c r="N453" s="2">
        <v>183.18</v>
      </c>
    </row>
    <row r="454" spans="1:14">
      <c r="A454" s="2" t="s">
        <v>1754</v>
      </c>
      <c r="B454" s="2">
        <v>45130</v>
      </c>
      <c r="C454" s="2" t="s">
        <v>1755</v>
      </c>
      <c r="D454" s="2" t="s">
        <v>9</v>
      </c>
      <c r="E454" s="2">
        <v>1</v>
      </c>
      <c r="F454" s="2">
        <v>75.78</v>
      </c>
      <c r="G454" s="2" t="s">
        <v>1756</v>
      </c>
      <c r="H454" s="2" t="s">
        <v>71</v>
      </c>
      <c r="I454" s="2" t="s">
        <v>95</v>
      </c>
      <c r="J454" s="2" t="s">
        <v>1757</v>
      </c>
      <c r="K454" s="2">
        <v>5</v>
      </c>
      <c r="L454" s="2" t="s">
        <v>32</v>
      </c>
      <c r="M454" s="2" t="s">
        <v>82</v>
      </c>
      <c r="N454" s="2">
        <v>75.78</v>
      </c>
    </row>
    <row r="455" spans="1:14">
      <c r="A455" s="2" t="s">
        <v>1758</v>
      </c>
      <c r="B455" s="2">
        <v>45779</v>
      </c>
      <c r="C455" s="2" t="s">
        <v>1759</v>
      </c>
      <c r="D455" s="2" t="s">
        <v>10</v>
      </c>
      <c r="E455" s="2">
        <v>1</v>
      </c>
      <c r="F455" s="2">
        <v>675.57</v>
      </c>
      <c r="G455" s="2" t="s">
        <v>1760</v>
      </c>
      <c r="H455" s="2" t="s">
        <v>71</v>
      </c>
      <c r="I455" s="2" t="s">
        <v>30</v>
      </c>
      <c r="J455" s="2" t="s">
        <v>1761</v>
      </c>
      <c r="K455" s="2">
        <v>1</v>
      </c>
      <c r="L455" s="2" t="s">
        <v>87</v>
      </c>
      <c r="M455" s="2" t="s">
        <v>53</v>
      </c>
      <c r="N455" s="2">
        <v>675.57</v>
      </c>
    </row>
    <row r="456" spans="1:14">
      <c r="A456" s="2" t="s">
        <v>1762</v>
      </c>
      <c r="B456" s="2">
        <v>45623</v>
      </c>
      <c r="C456" s="2" t="s">
        <v>1763</v>
      </c>
      <c r="D456" s="2" t="s">
        <v>6</v>
      </c>
      <c r="E456" s="2">
        <v>1</v>
      </c>
      <c r="F456" s="2">
        <v>109.29</v>
      </c>
      <c r="G456" s="2" t="s">
        <v>1764</v>
      </c>
      <c r="H456" s="2" t="s">
        <v>29</v>
      </c>
      <c r="I456" s="2" t="s">
        <v>44</v>
      </c>
      <c r="J456" s="2" t="s">
        <v>1765</v>
      </c>
      <c r="K456" s="2">
        <v>5</v>
      </c>
      <c r="L456" s="2" t="s">
        <v>46</v>
      </c>
      <c r="M456" s="2" t="s">
        <v>82</v>
      </c>
      <c r="N456" s="2">
        <v>109.29</v>
      </c>
    </row>
    <row r="457" spans="1:14">
      <c r="A457" s="2" t="s">
        <v>1766</v>
      </c>
      <c r="B457" s="2">
        <v>45377</v>
      </c>
      <c r="C457" s="2" t="s">
        <v>1767</v>
      </c>
      <c r="D457" s="2" t="s">
        <v>8</v>
      </c>
      <c r="E457" s="2">
        <v>1</v>
      </c>
      <c r="F457" s="2">
        <v>639.83</v>
      </c>
      <c r="G457" s="2" t="s">
        <v>1768</v>
      </c>
      <c r="H457" s="2" t="s">
        <v>29</v>
      </c>
      <c r="I457" s="2" t="s">
        <v>95</v>
      </c>
      <c r="J457" s="2" t="s">
        <v>1769</v>
      </c>
      <c r="K457" s="2">
        <v>2</v>
      </c>
      <c r="L457" s="2" t="s">
        <v>32</v>
      </c>
      <c r="M457" s="2" t="s">
        <v>39</v>
      </c>
      <c r="N457" s="2">
        <v>639.83</v>
      </c>
    </row>
    <row r="458" spans="1:14">
      <c r="A458" s="2" t="s">
        <v>1770</v>
      </c>
      <c r="B458" s="2">
        <v>45103</v>
      </c>
      <c r="C458" s="2" t="s">
        <v>1771</v>
      </c>
      <c r="D458" s="2" t="s">
        <v>5</v>
      </c>
      <c r="E458" s="2">
        <v>5</v>
      </c>
      <c r="F458" s="2">
        <v>62.81</v>
      </c>
      <c r="G458" s="2" t="s">
        <v>1370</v>
      </c>
      <c r="H458" s="2" t="s">
        <v>43</v>
      </c>
      <c r="I458" s="2" t="s">
        <v>30</v>
      </c>
      <c r="J458" s="2" t="s">
        <v>1772</v>
      </c>
      <c r="K458" s="2">
        <v>9</v>
      </c>
      <c r="L458" s="2" t="s">
        <v>32</v>
      </c>
      <c r="M458" s="2" t="s">
        <v>53</v>
      </c>
      <c r="N458" s="2">
        <v>314.05</v>
      </c>
    </row>
    <row r="459" spans="1:14">
      <c r="A459" s="2" t="s">
        <v>1773</v>
      </c>
      <c r="B459" s="2">
        <v>45802</v>
      </c>
      <c r="C459" s="2" t="s">
        <v>1774</v>
      </c>
      <c r="D459" s="2" t="s">
        <v>5</v>
      </c>
      <c r="E459" s="2">
        <v>4</v>
      </c>
      <c r="F459" s="2">
        <v>615.83</v>
      </c>
      <c r="G459" s="2" t="s">
        <v>1775</v>
      </c>
      <c r="H459" s="2" t="s">
        <v>37</v>
      </c>
      <c r="I459" s="2" t="s">
        <v>51</v>
      </c>
      <c r="J459" s="2" t="s">
        <v>1776</v>
      </c>
      <c r="K459" s="2">
        <v>4</v>
      </c>
      <c r="L459" s="2" t="s">
        <v>87</v>
      </c>
      <c r="M459" s="2" t="s">
        <v>33</v>
      </c>
      <c r="N459" s="2">
        <v>2463.32</v>
      </c>
    </row>
    <row r="460" spans="1:14">
      <c r="A460" s="2" t="s">
        <v>1777</v>
      </c>
      <c r="B460" s="2">
        <v>45475</v>
      </c>
      <c r="C460" s="2" t="s">
        <v>1778</v>
      </c>
      <c r="D460" s="2" t="s">
        <v>7</v>
      </c>
      <c r="E460" s="2">
        <v>4</v>
      </c>
      <c r="F460" s="2">
        <v>510.58</v>
      </c>
      <c r="G460" s="2" t="s">
        <v>405</v>
      </c>
      <c r="H460" s="2" t="s">
        <v>43</v>
      </c>
      <c r="I460" s="2" t="s">
        <v>51</v>
      </c>
      <c r="J460" s="2" t="s">
        <v>1779</v>
      </c>
      <c r="K460" s="2">
        <v>7</v>
      </c>
      <c r="L460" s="2" t="s">
        <v>87</v>
      </c>
      <c r="M460" s="2" t="s">
        <v>47</v>
      </c>
      <c r="N460" s="2">
        <v>2042.32</v>
      </c>
    </row>
    <row r="461" spans="1:14">
      <c r="A461" s="2" t="s">
        <v>1780</v>
      </c>
      <c r="B461" s="2">
        <v>45497</v>
      </c>
      <c r="C461" s="2" t="s">
        <v>1781</v>
      </c>
      <c r="D461" s="2" t="s">
        <v>5</v>
      </c>
      <c r="E461" s="2">
        <v>1</v>
      </c>
      <c r="F461" s="2">
        <v>334.39</v>
      </c>
      <c r="G461" s="2" t="s">
        <v>1676</v>
      </c>
      <c r="H461" s="2" t="s">
        <v>43</v>
      </c>
      <c r="I461" s="2" t="s">
        <v>51</v>
      </c>
      <c r="J461" s="2" t="s">
        <v>1782</v>
      </c>
      <c r="K461" s="2">
        <v>2</v>
      </c>
      <c r="L461" s="2" t="s">
        <v>77</v>
      </c>
      <c r="M461" s="2" t="s">
        <v>33</v>
      </c>
      <c r="N461" s="2">
        <v>334.39</v>
      </c>
    </row>
    <row r="462" spans="1:14">
      <c r="A462" s="2" t="s">
        <v>1783</v>
      </c>
      <c r="B462" s="2">
        <v>45571</v>
      </c>
      <c r="C462" s="2" t="s">
        <v>1784</v>
      </c>
      <c r="D462" s="2" t="s">
        <v>6</v>
      </c>
      <c r="E462" s="2">
        <v>1</v>
      </c>
      <c r="F462" s="2">
        <v>144.25</v>
      </c>
      <c r="G462" s="2" t="s">
        <v>1785</v>
      </c>
      <c r="H462" s="2" t="s">
        <v>71</v>
      </c>
      <c r="I462" s="2" t="s">
        <v>51</v>
      </c>
      <c r="J462" s="2" t="s">
        <v>1786</v>
      </c>
      <c r="K462" s="2">
        <v>2</v>
      </c>
      <c r="L462" s="2" t="s">
        <v>87</v>
      </c>
      <c r="M462" s="2" t="s">
        <v>39</v>
      </c>
      <c r="N462" s="2">
        <v>144.25</v>
      </c>
    </row>
    <row r="463" spans="1:14">
      <c r="A463" s="2" t="s">
        <v>1787</v>
      </c>
      <c r="B463" s="2">
        <v>45451</v>
      </c>
      <c r="C463" s="2" t="s">
        <v>1788</v>
      </c>
      <c r="D463" s="2" t="s">
        <v>10</v>
      </c>
      <c r="E463" s="2">
        <v>1</v>
      </c>
      <c r="F463" s="2">
        <v>401.82</v>
      </c>
      <c r="G463" s="2" t="s">
        <v>978</v>
      </c>
      <c r="H463" s="2" t="s">
        <v>43</v>
      </c>
      <c r="I463" s="2" t="s">
        <v>30</v>
      </c>
      <c r="J463" s="2" t="s">
        <v>1789</v>
      </c>
      <c r="K463" s="2">
        <v>5</v>
      </c>
      <c r="L463" s="2" t="s">
        <v>46</v>
      </c>
      <c r="M463" s="2" t="s">
        <v>82</v>
      </c>
      <c r="N463" s="2">
        <v>401.82</v>
      </c>
    </row>
    <row r="464" spans="1:14">
      <c r="A464" s="2" t="s">
        <v>1790</v>
      </c>
      <c r="B464" s="2">
        <v>45747</v>
      </c>
      <c r="C464" s="2" t="s">
        <v>1791</v>
      </c>
      <c r="D464" s="2" t="s">
        <v>8</v>
      </c>
      <c r="E464" s="2">
        <v>1</v>
      </c>
      <c r="F464" s="2">
        <v>252.68</v>
      </c>
      <c r="G464" s="2" t="s">
        <v>1792</v>
      </c>
      <c r="H464" s="2" t="s">
        <v>37</v>
      </c>
      <c r="I464" s="2" t="s">
        <v>44</v>
      </c>
      <c r="J464" s="2" t="s">
        <v>1793</v>
      </c>
      <c r="K464" s="2">
        <v>1</v>
      </c>
      <c r="L464" s="2" t="s">
        <v>77</v>
      </c>
      <c r="M464" s="2" t="s">
        <v>39</v>
      </c>
      <c r="N464" s="2">
        <v>252.68</v>
      </c>
    </row>
    <row r="465" spans="1:14">
      <c r="A465" s="2" t="s">
        <v>1794</v>
      </c>
      <c r="B465" s="2">
        <v>45072</v>
      </c>
      <c r="C465" s="2" t="s">
        <v>1795</v>
      </c>
      <c r="D465" s="2" t="s">
        <v>6</v>
      </c>
      <c r="E465" s="2">
        <v>5</v>
      </c>
      <c r="F465" s="2">
        <v>662.78</v>
      </c>
      <c r="G465" s="2" t="s">
        <v>1796</v>
      </c>
      <c r="H465" s="2" t="s">
        <v>29</v>
      </c>
      <c r="I465" s="2" t="s">
        <v>30</v>
      </c>
      <c r="J465" s="2" t="s">
        <v>1797</v>
      </c>
      <c r="K465" s="2">
        <v>9</v>
      </c>
      <c r="L465" s="2" t="s">
        <v>32</v>
      </c>
      <c r="M465" s="2" t="s">
        <v>33</v>
      </c>
      <c r="N465" s="2">
        <v>3313.9</v>
      </c>
    </row>
    <row r="466" spans="1:14">
      <c r="A466" s="2" t="s">
        <v>1798</v>
      </c>
      <c r="B466" s="2">
        <v>44999</v>
      </c>
      <c r="C466" s="2" t="s">
        <v>1799</v>
      </c>
      <c r="D466" s="2" t="s">
        <v>10</v>
      </c>
      <c r="E466" s="2">
        <v>4</v>
      </c>
      <c r="F466" s="2">
        <v>434.42</v>
      </c>
      <c r="G466" s="2" t="s">
        <v>1800</v>
      </c>
      <c r="H466" s="2" t="s">
        <v>37</v>
      </c>
      <c r="I466" s="2" t="s">
        <v>44</v>
      </c>
      <c r="J466" s="2" t="s">
        <v>1801</v>
      </c>
      <c r="K466" s="2">
        <v>6</v>
      </c>
      <c r="L466" s="2" t="s">
        <v>46</v>
      </c>
      <c r="M466" s="2" t="s">
        <v>82</v>
      </c>
      <c r="N466" s="2">
        <v>1737.68</v>
      </c>
    </row>
    <row r="467" spans="1:14">
      <c r="A467" s="2" t="s">
        <v>1802</v>
      </c>
      <c r="B467" s="2">
        <v>45348</v>
      </c>
      <c r="C467" s="2" t="s">
        <v>1803</v>
      </c>
      <c r="D467" s="2" t="s">
        <v>9</v>
      </c>
      <c r="E467" s="2">
        <v>5</v>
      </c>
      <c r="F467" s="2">
        <v>513.49</v>
      </c>
      <c r="G467" s="2" t="s">
        <v>1804</v>
      </c>
      <c r="H467" s="2" t="s">
        <v>66</v>
      </c>
      <c r="I467" s="2" t="s">
        <v>44</v>
      </c>
      <c r="J467" s="2" t="s">
        <v>1805</v>
      </c>
      <c r="K467" s="2">
        <v>8</v>
      </c>
      <c r="L467" s="2" t="s">
        <v>77</v>
      </c>
      <c r="M467" s="2" t="s">
        <v>82</v>
      </c>
      <c r="N467" s="2">
        <v>2567.45</v>
      </c>
    </row>
    <row r="468" spans="1:14">
      <c r="A468" s="2" t="s">
        <v>1806</v>
      </c>
      <c r="B468" s="2">
        <v>45125</v>
      </c>
      <c r="C468" s="2" t="s">
        <v>1807</v>
      </c>
      <c r="D468" s="2" t="s">
        <v>8</v>
      </c>
      <c r="E468" s="2">
        <v>1</v>
      </c>
      <c r="F468" s="2">
        <v>432.47</v>
      </c>
      <c r="G468" s="2" t="s">
        <v>167</v>
      </c>
      <c r="H468" s="2" t="s">
        <v>71</v>
      </c>
      <c r="I468" s="2" t="s">
        <v>57</v>
      </c>
      <c r="J468" s="2" t="s">
        <v>1808</v>
      </c>
      <c r="K468" s="2">
        <v>4</v>
      </c>
      <c r="L468" s="2" t="s">
        <v>46</v>
      </c>
      <c r="M468" s="2" t="s">
        <v>39</v>
      </c>
      <c r="N468" s="2">
        <v>432.47</v>
      </c>
    </row>
    <row r="469" spans="1:14">
      <c r="A469" s="2" t="s">
        <v>1809</v>
      </c>
      <c r="B469" s="2">
        <v>45534</v>
      </c>
      <c r="C469" s="2" t="s">
        <v>1810</v>
      </c>
      <c r="D469" s="2" t="s">
        <v>5</v>
      </c>
      <c r="E469" s="2">
        <v>1</v>
      </c>
      <c r="F469" s="2">
        <v>45.94</v>
      </c>
      <c r="G469" s="2" t="s">
        <v>769</v>
      </c>
      <c r="H469" s="2" t="s">
        <v>71</v>
      </c>
      <c r="I469" s="2" t="s">
        <v>44</v>
      </c>
      <c r="J469" s="2" t="s">
        <v>1811</v>
      </c>
      <c r="K469" s="2">
        <v>2</v>
      </c>
      <c r="L469" s="2" t="s">
        <v>87</v>
      </c>
      <c r="M469" s="2" t="s">
        <v>47</v>
      </c>
      <c r="N469" s="2">
        <v>45.94</v>
      </c>
    </row>
    <row r="470" spans="1:14">
      <c r="A470" s="2" t="s">
        <v>1812</v>
      </c>
      <c r="B470" s="2">
        <v>45829</v>
      </c>
      <c r="C470" s="2" t="s">
        <v>1813</v>
      </c>
      <c r="D470" s="2" t="s">
        <v>8</v>
      </c>
      <c r="E470" s="2">
        <v>1</v>
      </c>
      <c r="F470" s="2">
        <v>418.36</v>
      </c>
      <c r="G470" s="2" t="s">
        <v>1814</v>
      </c>
      <c r="H470" s="2" t="s">
        <v>43</v>
      </c>
      <c r="I470" s="2" t="s">
        <v>57</v>
      </c>
      <c r="J470" s="2" t="s">
        <v>1815</v>
      </c>
      <c r="K470" s="2">
        <v>5</v>
      </c>
      <c r="L470" s="2" t="s">
        <v>46</v>
      </c>
      <c r="M470" s="2" t="s">
        <v>47</v>
      </c>
      <c r="N470" s="2">
        <v>418.36</v>
      </c>
    </row>
    <row r="471" spans="1:14">
      <c r="A471" s="2" t="s">
        <v>1816</v>
      </c>
      <c r="B471" s="2">
        <v>45256</v>
      </c>
      <c r="C471" s="2" t="s">
        <v>1817</v>
      </c>
      <c r="D471" s="2" t="s">
        <v>4</v>
      </c>
      <c r="E471" s="2">
        <v>5</v>
      </c>
      <c r="F471" s="2">
        <v>676.98</v>
      </c>
      <c r="G471" s="2" t="s">
        <v>624</v>
      </c>
      <c r="H471" s="2" t="s">
        <v>71</v>
      </c>
      <c r="I471" s="2" t="s">
        <v>44</v>
      </c>
      <c r="J471" s="2" t="s">
        <v>1818</v>
      </c>
      <c r="K471" s="2">
        <v>5</v>
      </c>
      <c r="L471" s="2" t="s">
        <v>77</v>
      </c>
      <c r="M471" s="2" t="s">
        <v>53</v>
      </c>
      <c r="N471" s="2">
        <v>3384.9</v>
      </c>
    </row>
    <row r="472" spans="1:14">
      <c r="A472" s="2" t="s">
        <v>1819</v>
      </c>
      <c r="B472" s="2">
        <v>45198</v>
      </c>
      <c r="C472" s="2" t="s">
        <v>1820</v>
      </c>
      <c r="D472" s="2" t="s">
        <v>10</v>
      </c>
      <c r="E472" s="2">
        <v>4</v>
      </c>
      <c r="F472" s="2">
        <v>263.62</v>
      </c>
      <c r="G472" s="2" t="s">
        <v>1821</v>
      </c>
      <c r="H472" s="2" t="s">
        <v>71</v>
      </c>
      <c r="I472" s="2" t="s">
        <v>30</v>
      </c>
      <c r="J472" s="2" t="s">
        <v>1822</v>
      </c>
      <c r="K472" s="2">
        <v>5</v>
      </c>
      <c r="L472" s="2" t="s">
        <v>32</v>
      </c>
      <c r="M472" s="2" t="s">
        <v>47</v>
      </c>
      <c r="N472" s="2">
        <v>1054.48</v>
      </c>
    </row>
    <row r="473" spans="1:14">
      <c r="A473" s="2" t="s">
        <v>1823</v>
      </c>
      <c r="B473" s="2">
        <v>45766</v>
      </c>
      <c r="C473" s="2" t="s">
        <v>1824</v>
      </c>
      <c r="D473" s="2" t="s">
        <v>5</v>
      </c>
      <c r="E473" s="2">
        <v>5</v>
      </c>
      <c r="F473" s="2">
        <v>551.27</v>
      </c>
      <c r="G473" s="2" t="s">
        <v>1825</v>
      </c>
      <c r="H473" s="2" t="s">
        <v>37</v>
      </c>
      <c r="I473" s="2" t="s">
        <v>44</v>
      </c>
      <c r="J473" s="2" t="s">
        <v>1826</v>
      </c>
      <c r="K473" s="2">
        <v>7</v>
      </c>
      <c r="L473" s="2" t="s">
        <v>46</v>
      </c>
      <c r="M473" s="2" t="s">
        <v>39</v>
      </c>
      <c r="N473" s="2">
        <v>2756.35</v>
      </c>
    </row>
    <row r="474" spans="1:14">
      <c r="A474" s="2" t="s">
        <v>1827</v>
      </c>
      <c r="B474" s="2">
        <v>44932</v>
      </c>
      <c r="C474" s="2" t="s">
        <v>1828</v>
      </c>
      <c r="D474" s="2" t="s">
        <v>4</v>
      </c>
      <c r="E474" s="2">
        <v>3</v>
      </c>
      <c r="F474" s="2">
        <v>508.12</v>
      </c>
      <c r="G474" s="2" t="s">
        <v>1829</v>
      </c>
      <c r="H474" s="2" t="s">
        <v>43</v>
      </c>
      <c r="I474" s="2" t="s">
        <v>44</v>
      </c>
      <c r="J474" s="2" t="s">
        <v>1830</v>
      </c>
      <c r="K474" s="2">
        <v>8</v>
      </c>
      <c r="L474" s="2" t="s">
        <v>46</v>
      </c>
      <c r="M474" s="2" t="s">
        <v>39</v>
      </c>
      <c r="N474" s="2">
        <v>1524.36</v>
      </c>
    </row>
    <row r="475" spans="1:14">
      <c r="A475" s="2" t="s">
        <v>1831</v>
      </c>
      <c r="B475" s="2">
        <v>45713</v>
      </c>
      <c r="C475" s="2" t="s">
        <v>1832</v>
      </c>
      <c r="D475" s="2" t="s">
        <v>4</v>
      </c>
      <c r="E475" s="2">
        <v>2</v>
      </c>
      <c r="F475" s="2">
        <v>14.93</v>
      </c>
      <c r="G475" s="2" t="s">
        <v>1833</v>
      </c>
      <c r="H475" s="2" t="s">
        <v>37</v>
      </c>
      <c r="I475" s="2" t="s">
        <v>30</v>
      </c>
      <c r="J475" s="2" t="s">
        <v>1834</v>
      </c>
      <c r="K475" s="2">
        <v>4</v>
      </c>
      <c r="L475" s="2" t="s">
        <v>77</v>
      </c>
      <c r="M475" s="2" t="s">
        <v>53</v>
      </c>
      <c r="N475" s="2">
        <v>29.86</v>
      </c>
    </row>
    <row r="476" spans="1:14">
      <c r="A476" s="2" t="s">
        <v>1835</v>
      </c>
      <c r="B476" s="2">
        <v>45245</v>
      </c>
      <c r="C476" s="2" t="s">
        <v>1836</v>
      </c>
      <c r="D476" s="2" t="s">
        <v>9</v>
      </c>
      <c r="E476" s="2">
        <v>3</v>
      </c>
      <c r="F476" s="2">
        <v>229.34</v>
      </c>
      <c r="G476" s="2" t="s">
        <v>1346</v>
      </c>
      <c r="H476" s="2" t="s">
        <v>43</v>
      </c>
      <c r="I476" s="2" t="s">
        <v>30</v>
      </c>
      <c r="J476" s="2" t="s">
        <v>1837</v>
      </c>
      <c r="K476" s="2">
        <v>6</v>
      </c>
      <c r="L476" s="2" t="s">
        <v>32</v>
      </c>
      <c r="M476" s="2" t="s">
        <v>39</v>
      </c>
      <c r="N476" s="2">
        <v>688.02</v>
      </c>
    </row>
    <row r="477" spans="1:14">
      <c r="A477" s="2" t="s">
        <v>1838</v>
      </c>
      <c r="B477" s="2">
        <v>45766</v>
      </c>
      <c r="C477" s="2" t="s">
        <v>1839</v>
      </c>
      <c r="D477" s="2" t="s">
        <v>10</v>
      </c>
      <c r="E477" s="2">
        <v>2</v>
      </c>
      <c r="F477" s="2">
        <v>438.62</v>
      </c>
      <c r="G477" s="2" t="s">
        <v>1840</v>
      </c>
      <c r="H477" s="2" t="s">
        <v>71</v>
      </c>
      <c r="I477" s="2" t="s">
        <v>44</v>
      </c>
      <c r="J477" s="2" t="s">
        <v>1841</v>
      </c>
      <c r="K477" s="2">
        <v>3</v>
      </c>
      <c r="L477" s="2" t="s">
        <v>32</v>
      </c>
      <c r="M477" s="2" t="s">
        <v>53</v>
      </c>
      <c r="N477" s="2">
        <v>877.24</v>
      </c>
    </row>
    <row r="478" spans="1:14">
      <c r="A478" s="2" t="s">
        <v>1842</v>
      </c>
      <c r="B478" s="2">
        <v>45306</v>
      </c>
      <c r="C478" s="2" t="s">
        <v>1843</v>
      </c>
      <c r="D478" s="2" t="s">
        <v>8</v>
      </c>
      <c r="E478" s="2">
        <v>2</v>
      </c>
      <c r="F478" s="2">
        <v>513.59</v>
      </c>
      <c r="G478" s="2" t="s">
        <v>1844</v>
      </c>
      <c r="H478" s="2" t="s">
        <v>37</v>
      </c>
      <c r="I478" s="2" t="s">
        <v>51</v>
      </c>
      <c r="J478" s="2" t="s">
        <v>1845</v>
      </c>
      <c r="K478" s="2">
        <v>4</v>
      </c>
      <c r="L478" s="2" t="s">
        <v>46</v>
      </c>
      <c r="M478" s="2" t="s">
        <v>39</v>
      </c>
      <c r="N478" s="2">
        <v>1027.18</v>
      </c>
    </row>
    <row r="479" spans="1:14">
      <c r="A479" s="2" t="s">
        <v>1846</v>
      </c>
      <c r="B479" s="2">
        <v>45721</v>
      </c>
      <c r="C479" s="2" t="s">
        <v>1847</v>
      </c>
      <c r="D479" s="2" t="s">
        <v>8</v>
      </c>
      <c r="E479" s="2">
        <v>2</v>
      </c>
      <c r="F479" s="2">
        <v>253.74</v>
      </c>
      <c r="G479" s="2" t="s">
        <v>1848</v>
      </c>
      <c r="H479" s="2" t="s">
        <v>37</v>
      </c>
      <c r="I479" s="2" t="s">
        <v>30</v>
      </c>
      <c r="J479" s="2" t="s">
        <v>1849</v>
      </c>
      <c r="K479" s="2">
        <v>5</v>
      </c>
      <c r="L479" s="2" t="s">
        <v>32</v>
      </c>
      <c r="M479" s="2" t="s">
        <v>82</v>
      </c>
      <c r="N479" s="2">
        <v>507.48</v>
      </c>
    </row>
    <row r="480" spans="1:14">
      <c r="A480" s="2" t="s">
        <v>1850</v>
      </c>
      <c r="B480" s="2">
        <v>45597</v>
      </c>
      <c r="C480" s="2" t="s">
        <v>1851</v>
      </c>
      <c r="D480" s="2" t="s">
        <v>10</v>
      </c>
      <c r="E480" s="2">
        <v>3</v>
      </c>
      <c r="F480" s="2">
        <v>62.77</v>
      </c>
      <c r="G480" s="2" t="s">
        <v>111</v>
      </c>
      <c r="H480" s="2" t="s">
        <v>66</v>
      </c>
      <c r="I480" s="2" t="s">
        <v>30</v>
      </c>
      <c r="J480" s="2" t="s">
        <v>1852</v>
      </c>
      <c r="K480" s="2">
        <v>6</v>
      </c>
      <c r="L480" s="2" t="s">
        <v>46</v>
      </c>
      <c r="M480" s="2" t="s">
        <v>39</v>
      </c>
      <c r="N480" s="2">
        <v>188.31</v>
      </c>
    </row>
    <row r="481" spans="1:14">
      <c r="A481" s="2" t="s">
        <v>1853</v>
      </c>
      <c r="B481" s="2">
        <v>44975</v>
      </c>
      <c r="C481" s="2" t="s">
        <v>1854</v>
      </c>
      <c r="D481" s="2" t="s">
        <v>7</v>
      </c>
      <c r="E481" s="2">
        <v>4</v>
      </c>
      <c r="F481" s="2">
        <v>25.29</v>
      </c>
      <c r="G481" s="2" t="s">
        <v>1855</v>
      </c>
      <c r="H481" s="2" t="s">
        <v>43</v>
      </c>
      <c r="I481" s="2" t="s">
        <v>95</v>
      </c>
      <c r="J481" s="2" t="s">
        <v>1856</v>
      </c>
      <c r="K481" s="2">
        <v>8</v>
      </c>
      <c r="L481" s="2" t="s">
        <v>77</v>
      </c>
      <c r="M481" s="2" t="s">
        <v>82</v>
      </c>
      <c r="N481" s="2">
        <v>101.16</v>
      </c>
    </row>
    <row r="482" spans="1:14">
      <c r="A482" s="2" t="s">
        <v>1857</v>
      </c>
      <c r="B482" s="2">
        <v>45093</v>
      </c>
      <c r="C482" s="2" t="s">
        <v>1858</v>
      </c>
      <c r="D482" s="2" t="s">
        <v>4</v>
      </c>
      <c r="E482" s="2">
        <v>1</v>
      </c>
      <c r="F482" s="2">
        <v>335.1</v>
      </c>
      <c r="G482" s="2" t="s">
        <v>464</v>
      </c>
      <c r="H482" s="2" t="s">
        <v>29</v>
      </c>
      <c r="I482" s="2" t="s">
        <v>95</v>
      </c>
      <c r="J482" s="2" t="s">
        <v>1859</v>
      </c>
      <c r="K482" s="2">
        <v>6</v>
      </c>
      <c r="L482" s="2" t="s">
        <v>46</v>
      </c>
      <c r="M482" s="2" t="s">
        <v>39</v>
      </c>
      <c r="N482" s="2">
        <v>335.1</v>
      </c>
    </row>
    <row r="483" spans="1:14">
      <c r="A483" s="2" t="s">
        <v>1860</v>
      </c>
      <c r="B483" s="2">
        <v>45039</v>
      </c>
      <c r="C483" s="2" t="s">
        <v>1861</v>
      </c>
      <c r="D483" s="2" t="s">
        <v>6</v>
      </c>
      <c r="E483" s="2">
        <v>4</v>
      </c>
      <c r="F483" s="2">
        <v>484.85</v>
      </c>
      <c r="G483" s="2" t="s">
        <v>872</v>
      </c>
      <c r="H483" s="2" t="s">
        <v>29</v>
      </c>
      <c r="I483" s="2" t="s">
        <v>57</v>
      </c>
      <c r="J483" s="2" t="s">
        <v>1862</v>
      </c>
      <c r="K483" s="2">
        <v>5</v>
      </c>
      <c r="L483" s="2" t="s">
        <v>87</v>
      </c>
      <c r="M483" s="2" t="s">
        <v>39</v>
      </c>
      <c r="N483" s="2">
        <v>1939.4</v>
      </c>
    </row>
    <row r="484" spans="1:14">
      <c r="A484" s="2" t="s">
        <v>1863</v>
      </c>
      <c r="B484" s="2">
        <v>45718</v>
      </c>
      <c r="C484" s="2" t="s">
        <v>1864</v>
      </c>
      <c r="D484" s="2" t="s">
        <v>7</v>
      </c>
      <c r="E484" s="2">
        <v>3</v>
      </c>
      <c r="F484" s="2">
        <v>381.41</v>
      </c>
      <c r="G484" s="2" t="s">
        <v>373</v>
      </c>
      <c r="H484" s="2" t="s">
        <v>37</v>
      </c>
      <c r="I484" s="2" t="s">
        <v>95</v>
      </c>
      <c r="J484" s="2" t="s">
        <v>1865</v>
      </c>
      <c r="K484" s="2">
        <v>6</v>
      </c>
      <c r="L484" s="2" t="s">
        <v>77</v>
      </c>
      <c r="M484" s="2" t="s">
        <v>33</v>
      </c>
      <c r="N484" s="2">
        <v>1144.23</v>
      </c>
    </row>
    <row r="485" spans="1:14">
      <c r="A485" s="2" t="s">
        <v>1866</v>
      </c>
      <c r="B485" s="2">
        <v>44944</v>
      </c>
      <c r="C485" s="2" t="s">
        <v>1867</v>
      </c>
      <c r="D485" s="2" t="s">
        <v>8</v>
      </c>
      <c r="E485" s="2">
        <v>5</v>
      </c>
      <c r="F485" s="2">
        <v>347.92</v>
      </c>
      <c r="G485" s="2" t="s">
        <v>1868</v>
      </c>
      <c r="H485" s="2" t="s">
        <v>71</v>
      </c>
      <c r="I485" s="2" t="s">
        <v>95</v>
      </c>
      <c r="J485" s="2" t="s">
        <v>1869</v>
      </c>
      <c r="K485" s="2">
        <v>6</v>
      </c>
      <c r="L485" s="2" t="s">
        <v>87</v>
      </c>
      <c r="M485" s="2" t="s">
        <v>82</v>
      </c>
      <c r="N485" s="2">
        <v>1739.6</v>
      </c>
    </row>
    <row r="486" spans="1:14">
      <c r="A486" s="2" t="s">
        <v>1870</v>
      </c>
      <c r="B486" s="2">
        <v>45441</v>
      </c>
      <c r="C486" s="2" t="s">
        <v>1871</v>
      </c>
      <c r="D486" s="2" t="s">
        <v>4</v>
      </c>
      <c r="E486" s="2">
        <v>4</v>
      </c>
      <c r="F486" s="2">
        <v>15.01</v>
      </c>
      <c r="G486" s="2" t="s">
        <v>1600</v>
      </c>
      <c r="H486" s="2" t="s">
        <v>71</v>
      </c>
      <c r="I486" s="2" t="s">
        <v>44</v>
      </c>
      <c r="J486" s="2" t="s">
        <v>1872</v>
      </c>
      <c r="K486" s="2">
        <v>6</v>
      </c>
      <c r="L486" s="2" t="s">
        <v>77</v>
      </c>
      <c r="M486" s="2" t="s">
        <v>53</v>
      </c>
      <c r="N486" s="2">
        <v>60.04</v>
      </c>
    </row>
    <row r="487" spans="1:14">
      <c r="A487" s="2" t="s">
        <v>1873</v>
      </c>
      <c r="B487" s="2">
        <v>45139</v>
      </c>
      <c r="C487" s="2" t="s">
        <v>1874</v>
      </c>
      <c r="D487" s="2" t="s">
        <v>4</v>
      </c>
      <c r="E487" s="2">
        <v>3</v>
      </c>
      <c r="F487" s="2">
        <v>404.79</v>
      </c>
      <c r="G487" s="2" t="s">
        <v>1875</v>
      </c>
      <c r="H487" s="2" t="s">
        <v>71</v>
      </c>
      <c r="I487" s="2" t="s">
        <v>30</v>
      </c>
      <c r="J487" s="2" t="s">
        <v>1876</v>
      </c>
      <c r="K487" s="2">
        <v>6</v>
      </c>
      <c r="L487" s="2" t="s">
        <v>32</v>
      </c>
      <c r="M487" s="2" t="s">
        <v>33</v>
      </c>
      <c r="N487" s="2">
        <v>1214.37</v>
      </c>
    </row>
    <row r="488" spans="1:14">
      <c r="A488" s="2" t="s">
        <v>1877</v>
      </c>
      <c r="B488" s="2">
        <v>44960</v>
      </c>
      <c r="C488" s="2" t="s">
        <v>1878</v>
      </c>
      <c r="D488" s="2" t="s">
        <v>9</v>
      </c>
      <c r="E488" s="2">
        <v>4</v>
      </c>
      <c r="F488" s="2">
        <v>611.26</v>
      </c>
      <c r="G488" s="2" t="s">
        <v>1531</v>
      </c>
      <c r="H488" s="2" t="s">
        <v>71</v>
      </c>
      <c r="I488" s="2" t="s">
        <v>30</v>
      </c>
      <c r="J488" s="2" t="s">
        <v>1879</v>
      </c>
      <c r="K488" s="2">
        <v>5</v>
      </c>
      <c r="L488" s="2" t="s">
        <v>32</v>
      </c>
      <c r="M488" s="2" t="s">
        <v>39</v>
      </c>
      <c r="N488" s="2">
        <v>2445.04</v>
      </c>
    </row>
    <row r="489" spans="1:14">
      <c r="A489" s="2" t="s">
        <v>1880</v>
      </c>
      <c r="B489" s="2">
        <v>44994</v>
      </c>
      <c r="C489" s="2" t="s">
        <v>1881</v>
      </c>
      <c r="D489" s="2" t="s">
        <v>9</v>
      </c>
      <c r="E489" s="2">
        <v>3</v>
      </c>
      <c r="F489" s="2">
        <v>346.52</v>
      </c>
      <c r="G489" s="2" t="s">
        <v>1882</v>
      </c>
      <c r="H489" s="2" t="s">
        <v>43</v>
      </c>
      <c r="I489" s="2" t="s">
        <v>95</v>
      </c>
      <c r="J489" s="2" t="s">
        <v>1883</v>
      </c>
      <c r="K489" s="2">
        <v>3</v>
      </c>
      <c r="L489" s="2" t="s">
        <v>32</v>
      </c>
      <c r="M489" s="2" t="s">
        <v>82</v>
      </c>
      <c r="N489" s="2">
        <v>1039.56</v>
      </c>
    </row>
    <row r="490" spans="1:14">
      <c r="A490" s="2" t="s">
        <v>1884</v>
      </c>
      <c r="B490" s="2">
        <v>45631</v>
      </c>
      <c r="C490" s="2" t="s">
        <v>1885</v>
      </c>
      <c r="D490" s="2" t="s">
        <v>4</v>
      </c>
      <c r="E490" s="2">
        <v>1</v>
      </c>
      <c r="F490" s="2">
        <v>36.65</v>
      </c>
      <c r="G490" s="2" t="s">
        <v>1886</v>
      </c>
      <c r="H490" s="2" t="s">
        <v>37</v>
      </c>
      <c r="I490" s="2" t="s">
        <v>44</v>
      </c>
      <c r="J490" s="2" t="s">
        <v>1887</v>
      </c>
      <c r="K490" s="2">
        <v>1</v>
      </c>
      <c r="L490" s="2" t="s">
        <v>87</v>
      </c>
      <c r="M490" s="2" t="s">
        <v>47</v>
      </c>
      <c r="N490" s="2">
        <v>36.65</v>
      </c>
    </row>
    <row r="491" spans="1:14">
      <c r="A491" s="2" t="s">
        <v>1888</v>
      </c>
      <c r="B491" s="2">
        <v>45174</v>
      </c>
      <c r="C491" s="2" t="s">
        <v>1889</v>
      </c>
      <c r="D491" s="2" t="s">
        <v>10</v>
      </c>
      <c r="E491" s="2">
        <v>3</v>
      </c>
      <c r="F491" s="2">
        <v>149.34</v>
      </c>
      <c r="G491" s="2" t="s">
        <v>1072</v>
      </c>
      <c r="H491" s="2" t="s">
        <v>66</v>
      </c>
      <c r="I491" s="2" t="s">
        <v>44</v>
      </c>
      <c r="J491" s="2" t="s">
        <v>1890</v>
      </c>
      <c r="K491" s="2">
        <v>7</v>
      </c>
      <c r="L491" s="2" t="s">
        <v>87</v>
      </c>
      <c r="M491" s="2" t="s">
        <v>47</v>
      </c>
      <c r="N491" s="2">
        <v>448.02</v>
      </c>
    </row>
    <row r="492" spans="1:14">
      <c r="A492" s="2" t="s">
        <v>1891</v>
      </c>
      <c r="B492" s="2">
        <v>45495</v>
      </c>
      <c r="C492" s="2" t="s">
        <v>1892</v>
      </c>
      <c r="D492" s="2" t="s">
        <v>4</v>
      </c>
      <c r="E492" s="2">
        <v>5</v>
      </c>
      <c r="F492" s="2">
        <v>467.81</v>
      </c>
      <c r="G492" s="2" t="s">
        <v>1893</v>
      </c>
      <c r="H492" s="2" t="s">
        <v>37</v>
      </c>
      <c r="I492" s="2" t="s">
        <v>44</v>
      </c>
      <c r="J492" s="2" t="s">
        <v>1894</v>
      </c>
      <c r="K492" s="2">
        <v>10</v>
      </c>
      <c r="L492" s="2" t="s">
        <v>77</v>
      </c>
      <c r="M492" s="2" t="s">
        <v>53</v>
      </c>
      <c r="N492" s="2">
        <v>2339.05</v>
      </c>
    </row>
    <row r="493" spans="1:14">
      <c r="A493" s="2" t="s">
        <v>1895</v>
      </c>
      <c r="B493" s="2">
        <v>44931</v>
      </c>
      <c r="C493" s="2" t="s">
        <v>1896</v>
      </c>
      <c r="D493" s="2" t="s">
        <v>8</v>
      </c>
      <c r="E493" s="2">
        <v>5</v>
      </c>
      <c r="F493" s="2">
        <v>420.7</v>
      </c>
      <c r="G493" s="2" t="s">
        <v>1848</v>
      </c>
      <c r="H493" s="2" t="s">
        <v>71</v>
      </c>
      <c r="I493" s="2" t="s">
        <v>95</v>
      </c>
      <c r="J493" s="2" t="s">
        <v>1897</v>
      </c>
      <c r="K493" s="2">
        <v>5</v>
      </c>
      <c r="L493" s="2" t="s">
        <v>87</v>
      </c>
      <c r="M493" s="2" t="s">
        <v>53</v>
      </c>
      <c r="N493" s="2">
        <v>2103.5</v>
      </c>
    </row>
    <row r="494" spans="1:14">
      <c r="A494" s="2" t="s">
        <v>1898</v>
      </c>
      <c r="B494" s="2">
        <v>45224</v>
      </c>
      <c r="C494" s="2" t="s">
        <v>1899</v>
      </c>
      <c r="D494" s="2" t="s">
        <v>6</v>
      </c>
      <c r="E494" s="2">
        <v>5</v>
      </c>
      <c r="F494" s="2">
        <v>606.52</v>
      </c>
      <c r="G494" s="2" t="s">
        <v>357</v>
      </c>
      <c r="H494" s="2" t="s">
        <v>29</v>
      </c>
      <c r="I494" s="2" t="s">
        <v>30</v>
      </c>
      <c r="J494" s="2" t="s">
        <v>1900</v>
      </c>
      <c r="K494" s="2">
        <v>6</v>
      </c>
      <c r="L494" s="2" t="s">
        <v>32</v>
      </c>
      <c r="M494" s="2" t="s">
        <v>33</v>
      </c>
      <c r="N494" s="2">
        <v>3032.6</v>
      </c>
    </row>
    <row r="495" spans="1:14">
      <c r="A495" s="2" t="s">
        <v>1901</v>
      </c>
      <c r="B495" s="2">
        <v>45685</v>
      </c>
      <c r="C495" s="2" t="s">
        <v>1902</v>
      </c>
      <c r="D495" s="2" t="s">
        <v>8</v>
      </c>
      <c r="E495" s="2">
        <v>1</v>
      </c>
      <c r="F495" s="2">
        <v>420.26</v>
      </c>
      <c r="G495" s="2" t="s">
        <v>1903</v>
      </c>
      <c r="H495" s="2" t="s">
        <v>43</v>
      </c>
      <c r="I495" s="2" t="s">
        <v>95</v>
      </c>
      <c r="J495" s="2" t="s">
        <v>1904</v>
      </c>
      <c r="K495" s="2">
        <v>4</v>
      </c>
      <c r="L495" s="2" t="s">
        <v>46</v>
      </c>
      <c r="M495" s="2" t="s">
        <v>53</v>
      </c>
      <c r="N495" s="2">
        <v>420.26</v>
      </c>
    </row>
    <row r="496" spans="1:14">
      <c r="A496" s="2" t="s">
        <v>1905</v>
      </c>
      <c r="B496" s="2">
        <v>45126</v>
      </c>
      <c r="C496" s="2" t="s">
        <v>1906</v>
      </c>
      <c r="D496" s="2" t="s">
        <v>6</v>
      </c>
      <c r="E496" s="2">
        <v>3</v>
      </c>
      <c r="F496" s="2">
        <v>505.79</v>
      </c>
      <c r="G496" s="2" t="s">
        <v>1907</v>
      </c>
      <c r="H496" s="2" t="s">
        <v>29</v>
      </c>
      <c r="I496" s="2" t="s">
        <v>95</v>
      </c>
      <c r="J496" s="2" t="s">
        <v>1908</v>
      </c>
      <c r="K496" s="2">
        <v>3</v>
      </c>
      <c r="L496" s="2" t="s">
        <v>46</v>
      </c>
      <c r="M496" s="2" t="s">
        <v>39</v>
      </c>
      <c r="N496" s="2">
        <v>1517.37</v>
      </c>
    </row>
    <row r="497" spans="1:14">
      <c r="A497" s="2" t="s">
        <v>1909</v>
      </c>
      <c r="B497" s="2">
        <v>45813</v>
      </c>
      <c r="C497" s="2" t="s">
        <v>1910</v>
      </c>
      <c r="D497" s="2" t="s">
        <v>8</v>
      </c>
      <c r="E497" s="2">
        <v>4</v>
      </c>
      <c r="F497" s="2">
        <v>493.73</v>
      </c>
      <c r="G497" s="2" t="s">
        <v>640</v>
      </c>
      <c r="H497" s="2" t="s">
        <v>29</v>
      </c>
      <c r="I497" s="2" t="s">
        <v>95</v>
      </c>
      <c r="J497" s="2" t="s">
        <v>1911</v>
      </c>
      <c r="K497" s="2">
        <v>6</v>
      </c>
      <c r="L497" s="2" t="s">
        <v>32</v>
      </c>
      <c r="M497" s="2" t="s">
        <v>53</v>
      </c>
      <c r="N497" s="2">
        <v>1974.92</v>
      </c>
    </row>
    <row r="498" spans="1:14">
      <c r="A498" s="2" t="s">
        <v>1912</v>
      </c>
      <c r="B498" s="2">
        <v>45730</v>
      </c>
      <c r="C498" s="2" t="s">
        <v>1913</v>
      </c>
      <c r="D498" s="2" t="s">
        <v>9</v>
      </c>
      <c r="E498" s="2">
        <v>3</v>
      </c>
      <c r="F498" s="2">
        <v>201.21</v>
      </c>
      <c r="G498" s="2" t="s">
        <v>1914</v>
      </c>
      <c r="H498" s="2" t="s">
        <v>37</v>
      </c>
      <c r="I498" s="2" t="s">
        <v>44</v>
      </c>
      <c r="J498" s="2" t="s">
        <v>1915</v>
      </c>
      <c r="K498" s="2">
        <v>3</v>
      </c>
      <c r="L498" s="2" t="s">
        <v>32</v>
      </c>
      <c r="M498" s="2" t="s">
        <v>82</v>
      </c>
      <c r="N498" s="2">
        <v>603.63</v>
      </c>
    </row>
    <row r="499" spans="1:14">
      <c r="A499" s="2" t="s">
        <v>1916</v>
      </c>
      <c r="B499" s="2">
        <v>45589</v>
      </c>
      <c r="C499" s="2" t="s">
        <v>1917</v>
      </c>
      <c r="D499" s="2" t="s">
        <v>9</v>
      </c>
      <c r="E499" s="2">
        <v>3</v>
      </c>
      <c r="F499" s="2">
        <v>112.29</v>
      </c>
      <c r="G499" s="2" t="s">
        <v>1918</v>
      </c>
      <c r="H499" s="2" t="s">
        <v>66</v>
      </c>
      <c r="I499" s="2" t="s">
        <v>30</v>
      </c>
      <c r="J499" s="2" t="s">
        <v>1919</v>
      </c>
      <c r="K499" s="2">
        <v>6</v>
      </c>
      <c r="L499" s="2" t="s">
        <v>77</v>
      </c>
      <c r="M499" s="2" t="s">
        <v>82</v>
      </c>
      <c r="N499" s="2">
        <v>336.87</v>
      </c>
    </row>
    <row r="500" spans="1:14">
      <c r="A500" s="2" t="s">
        <v>1920</v>
      </c>
      <c r="B500" s="2">
        <v>45119</v>
      </c>
      <c r="C500" s="2" t="s">
        <v>1921</v>
      </c>
      <c r="D500" s="2" t="s">
        <v>10</v>
      </c>
      <c r="E500" s="2">
        <v>4</v>
      </c>
      <c r="F500" s="2">
        <v>132.56</v>
      </c>
      <c r="G500" s="2" t="s">
        <v>994</v>
      </c>
      <c r="H500" s="2" t="s">
        <v>71</v>
      </c>
      <c r="I500" s="2" t="s">
        <v>51</v>
      </c>
      <c r="J500" s="2" t="s">
        <v>1922</v>
      </c>
      <c r="K500" s="2">
        <v>8</v>
      </c>
      <c r="L500" s="2" t="s">
        <v>87</v>
      </c>
      <c r="M500" s="2" t="s">
        <v>33</v>
      </c>
      <c r="N500" s="2">
        <v>530.24</v>
      </c>
    </row>
    <row r="501" spans="2:2">
      <c r="B501" s="3"/>
    </row>
    <row r="502" spans="2:2">
      <c r="B502" s="3"/>
    </row>
    <row r="503" spans="2:2">
      <c r="B503" s="3"/>
    </row>
    <row r="504" spans="2:2">
      <c r="B504" s="3"/>
    </row>
    <row r="505" spans="2:2">
      <c r="B505" s="3"/>
    </row>
    <row r="506" spans="2:2">
      <c r="B506" s="3"/>
    </row>
    <row r="507" spans="2:2">
      <c r="B507" s="3"/>
    </row>
    <row r="508" spans="2:2">
      <c r="B508" s="3"/>
    </row>
    <row r="509" spans="2:2">
      <c r="B509" s="3"/>
    </row>
    <row r="510" spans="2:2">
      <c r="B510" s="3"/>
    </row>
    <row r="511" spans="2:2">
      <c r="B511" s="3"/>
    </row>
    <row r="512" spans="2:2">
      <c r="B512" s="3"/>
    </row>
    <row r="513" spans="2:2">
      <c r="B513" s="3"/>
    </row>
    <row r="514" spans="2:2">
      <c r="B514" s="3"/>
    </row>
    <row r="515" spans="2:2">
      <c r="B515" s="3"/>
    </row>
    <row r="516" spans="2:2">
      <c r="B516" s="3"/>
    </row>
    <row r="517" spans="2:2">
      <c r="B517" s="3"/>
    </row>
    <row r="518" spans="2:2">
      <c r="B518" s="3"/>
    </row>
    <row r="519" spans="2:2">
      <c r="B519" s="3"/>
    </row>
    <row r="520" spans="2:2">
      <c r="B520" s="3"/>
    </row>
    <row r="521" spans="2:2">
      <c r="B521" s="3"/>
    </row>
    <row r="522" spans="2:2">
      <c r="B522" s="3"/>
    </row>
    <row r="523" spans="2:2">
      <c r="B523" s="3"/>
    </row>
    <row r="524" spans="2:2">
      <c r="B524" s="3"/>
    </row>
    <row r="525" spans="2:2">
      <c r="B525" s="3"/>
    </row>
    <row r="526" spans="2:2">
      <c r="B526" s="3"/>
    </row>
    <row r="527" spans="2:2">
      <c r="B527" s="3"/>
    </row>
    <row r="528" spans="2:2">
      <c r="B528" s="3"/>
    </row>
    <row r="529" spans="2:2">
      <c r="B529" s="3"/>
    </row>
    <row r="530" spans="2:2">
      <c r="B530" s="3"/>
    </row>
    <row r="531" spans="2:2">
      <c r="B531" s="3"/>
    </row>
    <row r="532" spans="2:2">
      <c r="B532" s="3"/>
    </row>
    <row r="533" spans="2:2">
      <c r="B533" s="3"/>
    </row>
    <row r="534" spans="2:2">
      <c r="B534" s="3"/>
    </row>
    <row r="535" spans="2:2">
      <c r="B535" s="3"/>
    </row>
    <row r="536" spans="2:2">
      <c r="B536" s="3"/>
    </row>
    <row r="537" spans="2:2">
      <c r="B537" s="3"/>
    </row>
    <row r="538" spans="2:2">
      <c r="B538" s="3"/>
    </row>
    <row r="539" spans="2:2">
      <c r="B539" s="3"/>
    </row>
    <row r="540" spans="2:2">
      <c r="B540" s="3"/>
    </row>
    <row r="541" spans="2:2">
      <c r="B541" s="3"/>
    </row>
    <row r="542" spans="2:2">
      <c r="B542" s="3"/>
    </row>
    <row r="543" spans="2:2">
      <c r="B543" s="3"/>
    </row>
    <row r="544" spans="2:2">
      <c r="B544" s="3"/>
    </row>
    <row r="545" spans="2:2">
      <c r="B545" s="3"/>
    </row>
    <row r="546" spans="2:2">
      <c r="B546" s="3"/>
    </row>
    <row r="547" spans="2:2">
      <c r="B547" s="3"/>
    </row>
    <row r="548" spans="2:2">
      <c r="B548" s="3"/>
    </row>
    <row r="549" spans="2:2">
      <c r="B549" s="3"/>
    </row>
    <row r="550" spans="2:2">
      <c r="B550" s="3"/>
    </row>
    <row r="551" spans="2:2">
      <c r="B551" s="3"/>
    </row>
    <row r="552" spans="2:2">
      <c r="B552" s="3"/>
    </row>
    <row r="553" spans="2:2">
      <c r="B553" s="3"/>
    </row>
    <row r="554" spans="2:2">
      <c r="B554" s="3"/>
    </row>
    <row r="555" spans="2:2">
      <c r="B555" s="3"/>
    </row>
    <row r="556" spans="2:2">
      <c r="B556" s="3"/>
    </row>
    <row r="557" spans="2:2">
      <c r="B557" s="3"/>
    </row>
    <row r="558" spans="2:2">
      <c r="B558" s="3"/>
    </row>
    <row r="559" spans="2:2">
      <c r="B559" s="3"/>
    </row>
    <row r="560" spans="2:2">
      <c r="B560" s="3"/>
    </row>
    <row r="561" spans="2:2">
      <c r="B561" s="3"/>
    </row>
    <row r="562" spans="2:2">
      <c r="B562" s="3"/>
    </row>
    <row r="563" spans="2:2">
      <c r="B563" s="3"/>
    </row>
    <row r="564" spans="2:2">
      <c r="B564" s="3"/>
    </row>
    <row r="565" spans="2:2">
      <c r="B565" s="3"/>
    </row>
    <row r="566" spans="2:2">
      <c r="B566" s="3"/>
    </row>
    <row r="567" spans="2:2">
      <c r="B567" s="3"/>
    </row>
    <row r="568" spans="2:2">
      <c r="B568" s="3"/>
    </row>
    <row r="569" spans="2:2">
      <c r="B569" s="3"/>
    </row>
    <row r="570" spans="2:2">
      <c r="B570" s="3"/>
    </row>
    <row r="571" spans="2:2">
      <c r="B571" s="3"/>
    </row>
    <row r="572" spans="2:2">
      <c r="B572" s="3"/>
    </row>
    <row r="573" spans="2:2">
      <c r="B573" s="3"/>
    </row>
    <row r="574" spans="2:2">
      <c r="B574" s="3"/>
    </row>
    <row r="575" spans="2:2">
      <c r="B575" s="3"/>
    </row>
    <row r="576" spans="2:2">
      <c r="B576" s="3"/>
    </row>
    <row r="577" spans="2:2">
      <c r="B577" s="3"/>
    </row>
    <row r="578" spans="2:2">
      <c r="B578" s="3"/>
    </row>
    <row r="579" spans="2:2">
      <c r="B579" s="3"/>
    </row>
    <row r="580" spans="2:2">
      <c r="B580" s="3"/>
    </row>
    <row r="581" spans="2:2">
      <c r="B581" s="3"/>
    </row>
    <row r="582" spans="2:2">
      <c r="B582" s="3"/>
    </row>
    <row r="583" spans="2:2">
      <c r="B583" s="3"/>
    </row>
    <row r="584" spans="2:2">
      <c r="B584" s="3"/>
    </row>
    <row r="585" spans="2:2">
      <c r="B585" s="3"/>
    </row>
    <row r="586" spans="2:2">
      <c r="B586" s="3"/>
    </row>
    <row r="587" spans="2:2">
      <c r="B587" s="3"/>
    </row>
    <row r="588" spans="2:2">
      <c r="B588" s="3"/>
    </row>
    <row r="589" spans="2:2">
      <c r="B589" s="3"/>
    </row>
    <row r="590" spans="2:2">
      <c r="B590" s="3"/>
    </row>
    <row r="591" spans="2:2">
      <c r="B591" s="3"/>
    </row>
    <row r="592" spans="2:2">
      <c r="B592" s="3"/>
    </row>
    <row r="593" spans="2:2">
      <c r="B593" s="3"/>
    </row>
    <row r="594" spans="2:2">
      <c r="B594" s="3"/>
    </row>
    <row r="595" spans="2:2">
      <c r="B595" s="3"/>
    </row>
    <row r="596" spans="2:2">
      <c r="B596" s="3"/>
    </row>
    <row r="597" spans="2:2">
      <c r="B597" s="3"/>
    </row>
    <row r="598" spans="2:2">
      <c r="B598" s="3"/>
    </row>
    <row r="599" spans="2:2">
      <c r="B599" s="3"/>
    </row>
    <row r="600" spans="2:2">
      <c r="B600" s="3"/>
    </row>
    <row r="601" spans="2:2">
      <c r="B601" s="3"/>
    </row>
    <row r="602" spans="2:2">
      <c r="B602" s="3"/>
    </row>
    <row r="603" spans="2:2">
      <c r="B603" s="3"/>
    </row>
    <row r="604" spans="2:2">
      <c r="B604" s="3"/>
    </row>
    <row r="605" spans="2:2">
      <c r="B605" s="3"/>
    </row>
    <row r="606" spans="2:2">
      <c r="B606" s="3"/>
    </row>
    <row r="607" spans="2:2">
      <c r="B607" s="3"/>
    </row>
    <row r="608" spans="2:2">
      <c r="B608" s="3"/>
    </row>
    <row r="609" spans="2:2">
      <c r="B609" s="3"/>
    </row>
    <row r="610" spans="2:2">
      <c r="B610" s="3"/>
    </row>
    <row r="611" spans="2:2">
      <c r="B611" s="3"/>
    </row>
    <row r="612" spans="2:2">
      <c r="B612" s="3"/>
    </row>
    <row r="613" spans="2:2">
      <c r="B613" s="3"/>
    </row>
    <row r="614" spans="2:2">
      <c r="B614" s="3"/>
    </row>
    <row r="615" spans="2:2">
      <c r="B615" s="3"/>
    </row>
    <row r="616" spans="2:2">
      <c r="B616" s="3"/>
    </row>
    <row r="617" spans="2:2">
      <c r="B617" s="3"/>
    </row>
    <row r="618" spans="2:2">
      <c r="B618" s="3"/>
    </row>
    <row r="619" spans="2:2">
      <c r="B619" s="3"/>
    </row>
    <row r="620" spans="2:2">
      <c r="B620" s="3"/>
    </row>
    <row r="621" spans="2:2">
      <c r="B621" s="3"/>
    </row>
    <row r="622" spans="2:2">
      <c r="B622" s="3"/>
    </row>
    <row r="623" spans="2:2">
      <c r="B623" s="3"/>
    </row>
    <row r="624" spans="2:2">
      <c r="B624" s="3"/>
    </row>
    <row r="625" spans="2:2">
      <c r="B625" s="3"/>
    </row>
    <row r="626" spans="2:2">
      <c r="B626" s="3"/>
    </row>
    <row r="627" spans="2:2">
      <c r="B627" s="3"/>
    </row>
    <row r="628" spans="2:2">
      <c r="B628" s="3"/>
    </row>
    <row r="629" spans="2:2">
      <c r="B629" s="3"/>
    </row>
    <row r="630" spans="2:2">
      <c r="B630" s="3"/>
    </row>
    <row r="631" spans="2:2">
      <c r="B631" s="3"/>
    </row>
    <row r="632" spans="2:2">
      <c r="B632" s="3"/>
    </row>
    <row r="633" spans="2:2">
      <c r="B633" s="3"/>
    </row>
    <row r="634" spans="2:2">
      <c r="B634" s="3"/>
    </row>
    <row r="635" spans="2:2">
      <c r="B635" s="3"/>
    </row>
    <row r="636" spans="2:2">
      <c r="B636" s="3"/>
    </row>
    <row r="637" spans="2:2">
      <c r="B637" s="3"/>
    </row>
    <row r="638" spans="2:2">
      <c r="B638" s="3"/>
    </row>
    <row r="639" spans="2:2">
      <c r="B639" s="3"/>
    </row>
    <row r="640" spans="2:2">
      <c r="B640" s="3"/>
    </row>
    <row r="641" spans="2:2">
      <c r="B641" s="3"/>
    </row>
    <row r="642" spans="2:2">
      <c r="B642" s="3"/>
    </row>
    <row r="643" spans="2:2">
      <c r="B643" s="3"/>
    </row>
    <row r="644" spans="2:2">
      <c r="B644" s="3"/>
    </row>
    <row r="645" spans="2:2">
      <c r="B645" s="3"/>
    </row>
    <row r="646" spans="2:2">
      <c r="B646" s="3"/>
    </row>
    <row r="647" spans="2:2">
      <c r="B647" s="3"/>
    </row>
    <row r="648" spans="2:2">
      <c r="B648" s="3"/>
    </row>
    <row r="649" spans="2:2">
      <c r="B649" s="3"/>
    </row>
    <row r="650" spans="2:2">
      <c r="B650" s="3"/>
    </row>
    <row r="651" spans="2:2">
      <c r="B651" s="3"/>
    </row>
    <row r="652" spans="2:2">
      <c r="B652" s="3"/>
    </row>
    <row r="653" spans="2:2">
      <c r="B653" s="3"/>
    </row>
    <row r="654" spans="2:2">
      <c r="B654" s="3"/>
    </row>
    <row r="655" spans="2:2">
      <c r="B655" s="3"/>
    </row>
    <row r="656" spans="2:2">
      <c r="B656" s="3"/>
    </row>
    <row r="657" spans="2:2">
      <c r="B657" s="3"/>
    </row>
    <row r="658" spans="2:2">
      <c r="B658" s="3"/>
    </row>
    <row r="659" spans="2:2">
      <c r="B659" s="3"/>
    </row>
    <row r="660" spans="2:2">
      <c r="B660" s="3"/>
    </row>
    <row r="661" spans="2:2">
      <c r="B661" s="3"/>
    </row>
    <row r="662" spans="2:2">
      <c r="B662" s="3"/>
    </row>
    <row r="663" spans="2:2">
      <c r="B663" s="3"/>
    </row>
    <row r="664" spans="2:2">
      <c r="B664" s="3"/>
    </row>
    <row r="665" spans="2:2">
      <c r="B665" s="3"/>
    </row>
    <row r="666" spans="2:2">
      <c r="B666" s="3"/>
    </row>
    <row r="667" spans="2:2">
      <c r="B667" s="3"/>
    </row>
    <row r="668" spans="2:2">
      <c r="B668" s="3"/>
    </row>
    <row r="669" spans="2:2">
      <c r="B669" s="3"/>
    </row>
    <row r="670" spans="2:2">
      <c r="B670" s="3"/>
    </row>
    <row r="671" spans="2:2">
      <c r="B671" s="3"/>
    </row>
    <row r="672" spans="2:2">
      <c r="B672" s="3"/>
    </row>
    <row r="673" spans="2:2">
      <c r="B673" s="3"/>
    </row>
    <row r="674" spans="2:2">
      <c r="B674" s="3"/>
    </row>
    <row r="675" spans="2:2">
      <c r="B675" s="3"/>
    </row>
    <row r="676" spans="2:2">
      <c r="B676" s="3"/>
    </row>
    <row r="677" spans="2:2">
      <c r="B677" s="3"/>
    </row>
    <row r="678" spans="2:2">
      <c r="B678" s="3"/>
    </row>
    <row r="679" spans="2:2">
      <c r="B679" s="3"/>
    </row>
    <row r="680" spans="2:2">
      <c r="B680" s="3"/>
    </row>
    <row r="681" spans="2:2">
      <c r="B681" s="3"/>
    </row>
    <row r="682" spans="2:2">
      <c r="B682" s="3"/>
    </row>
    <row r="683" spans="2:2">
      <c r="B683" s="3"/>
    </row>
    <row r="684" spans="2:2">
      <c r="B684" s="3"/>
    </row>
    <row r="685" spans="2:2">
      <c r="B685" s="3"/>
    </row>
    <row r="686" spans="2:2">
      <c r="B686" s="3"/>
    </row>
    <row r="687" spans="2:2">
      <c r="B687" s="3"/>
    </row>
    <row r="688" spans="2:2">
      <c r="B688" s="3"/>
    </row>
    <row r="689" spans="2:2">
      <c r="B689" s="3"/>
    </row>
    <row r="690" spans="2:2">
      <c r="B690" s="3"/>
    </row>
    <row r="691" spans="2:2">
      <c r="B691" s="3"/>
    </row>
    <row r="692" spans="2:2">
      <c r="B692" s="3"/>
    </row>
    <row r="693" spans="2:2">
      <c r="B693" s="3"/>
    </row>
    <row r="694" spans="2:2">
      <c r="B694" s="3"/>
    </row>
    <row r="695" spans="2:2">
      <c r="B695" s="3"/>
    </row>
    <row r="696" spans="2:2">
      <c r="B696" s="3"/>
    </row>
    <row r="697" spans="2:2">
      <c r="B697" s="3"/>
    </row>
    <row r="698" spans="2:2">
      <c r="B698" s="3"/>
    </row>
    <row r="699" spans="2:2">
      <c r="B699" s="3"/>
    </row>
    <row r="700" spans="2:2">
      <c r="B700" s="3"/>
    </row>
    <row r="701" spans="2:2">
      <c r="B701" s="3"/>
    </row>
    <row r="702" spans="2:2">
      <c r="B702" s="3"/>
    </row>
    <row r="703" spans="2:2">
      <c r="B703" s="3"/>
    </row>
    <row r="704" spans="2:2">
      <c r="B704" s="3"/>
    </row>
    <row r="705" spans="2:2">
      <c r="B705" s="3"/>
    </row>
    <row r="706" spans="2:2">
      <c r="B706" s="3"/>
    </row>
    <row r="707" spans="2:2">
      <c r="B707" s="3"/>
    </row>
    <row r="708" spans="2:2">
      <c r="B708" s="3"/>
    </row>
    <row r="709" spans="2:2">
      <c r="B709" s="3"/>
    </row>
    <row r="710" spans="2:2">
      <c r="B710" s="3"/>
    </row>
    <row r="711" spans="2:2">
      <c r="B711" s="3"/>
    </row>
    <row r="712" spans="2:2">
      <c r="B712" s="3"/>
    </row>
    <row r="713" spans="2:2">
      <c r="B713" s="3"/>
    </row>
    <row r="714" spans="2:2">
      <c r="B714" s="3"/>
    </row>
    <row r="715" spans="2:2">
      <c r="B715" s="3"/>
    </row>
    <row r="716" spans="2:2">
      <c r="B716" s="3"/>
    </row>
    <row r="717" spans="2:2">
      <c r="B717" s="3"/>
    </row>
    <row r="718" spans="2:2">
      <c r="B718" s="3"/>
    </row>
    <row r="719" spans="2:2">
      <c r="B719" s="3"/>
    </row>
    <row r="720" spans="2:2">
      <c r="B720" s="3"/>
    </row>
    <row r="721" spans="2:2">
      <c r="B721" s="3"/>
    </row>
    <row r="722" spans="2:2">
      <c r="B722" s="3"/>
    </row>
    <row r="723" spans="2:2">
      <c r="B723" s="3"/>
    </row>
    <row r="724" spans="2:2">
      <c r="B724" s="3"/>
    </row>
    <row r="725" spans="2:2">
      <c r="B725" s="3"/>
    </row>
    <row r="726" spans="2:2">
      <c r="B726" s="3"/>
    </row>
    <row r="727" spans="2:2">
      <c r="B727" s="3"/>
    </row>
    <row r="728" spans="2:2">
      <c r="B728" s="3"/>
    </row>
    <row r="729" spans="2:2">
      <c r="B729" s="3"/>
    </row>
    <row r="730" spans="2:2">
      <c r="B730" s="3"/>
    </row>
    <row r="731" spans="2:2">
      <c r="B731" s="3"/>
    </row>
    <row r="732" spans="2:2">
      <c r="B732" s="3"/>
    </row>
    <row r="733" spans="2:2">
      <c r="B733" s="3"/>
    </row>
    <row r="734" spans="2:2">
      <c r="B734" s="3"/>
    </row>
    <row r="735" spans="2:2">
      <c r="B735" s="3"/>
    </row>
    <row r="736" spans="2:2">
      <c r="B736" s="3"/>
    </row>
    <row r="737" spans="2:2">
      <c r="B737" s="3"/>
    </row>
    <row r="738" spans="2:2">
      <c r="B738" s="3"/>
    </row>
    <row r="739" spans="2:2">
      <c r="B739" s="3"/>
    </row>
    <row r="740" spans="2:2">
      <c r="B740" s="3"/>
    </row>
    <row r="741" spans="2:2">
      <c r="B741" s="3"/>
    </row>
    <row r="742" spans="2:2">
      <c r="B742" s="3"/>
    </row>
    <row r="743" spans="2:2">
      <c r="B743" s="3"/>
    </row>
    <row r="744" spans="2:2">
      <c r="B744" s="3"/>
    </row>
    <row r="745" spans="2:2">
      <c r="B745" s="3"/>
    </row>
    <row r="746" spans="2:2">
      <c r="B746" s="3"/>
    </row>
    <row r="747" spans="2:2">
      <c r="B747" s="3"/>
    </row>
    <row r="748" spans="2:2">
      <c r="B748" s="3"/>
    </row>
    <row r="749" spans="2:2">
      <c r="B749" s="3"/>
    </row>
    <row r="750" spans="2:2">
      <c r="B750" s="3"/>
    </row>
    <row r="751" spans="2:2">
      <c r="B751" s="3"/>
    </row>
    <row r="752" spans="2:2">
      <c r="B752" s="3"/>
    </row>
    <row r="753" spans="2:2">
      <c r="B753" s="3"/>
    </row>
    <row r="754" spans="2:2">
      <c r="B754" s="3"/>
    </row>
    <row r="755" spans="2:2">
      <c r="B755" s="3"/>
    </row>
    <row r="756" spans="2:2">
      <c r="B756" s="3"/>
    </row>
    <row r="757" spans="2:2">
      <c r="B757" s="3"/>
    </row>
    <row r="758" spans="2:2">
      <c r="B758" s="3"/>
    </row>
    <row r="759" spans="2:2">
      <c r="B759" s="3"/>
    </row>
    <row r="760" spans="2:2">
      <c r="B760" s="3"/>
    </row>
    <row r="761" spans="2:2">
      <c r="B761" s="3"/>
    </row>
    <row r="762" spans="2:2">
      <c r="B762" s="3"/>
    </row>
    <row r="763" spans="2:2">
      <c r="B763" s="3"/>
    </row>
    <row r="764" spans="2:2">
      <c r="B764" s="3"/>
    </row>
    <row r="765" spans="2:2">
      <c r="B765" s="3"/>
    </row>
    <row r="766" spans="2:2">
      <c r="B766" s="3"/>
    </row>
    <row r="767" spans="2:2">
      <c r="B767" s="3"/>
    </row>
    <row r="768" spans="2:2">
      <c r="B768" s="3"/>
    </row>
    <row r="769" spans="2:2">
      <c r="B769" s="3"/>
    </row>
    <row r="770" spans="2:2">
      <c r="B770" s="3"/>
    </row>
    <row r="771" spans="2:2">
      <c r="B771" s="3"/>
    </row>
    <row r="772" spans="2:2">
      <c r="B772" s="3"/>
    </row>
    <row r="773" spans="2:2">
      <c r="B773" s="3"/>
    </row>
    <row r="774" spans="2:2">
      <c r="B774" s="3"/>
    </row>
    <row r="775" spans="2:2">
      <c r="B775" s="3"/>
    </row>
    <row r="776" spans="2:2">
      <c r="B776" s="3"/>
    </row>
    <row r="777" spans="2:2">
      <c r="B777" s="3"/>
    </row>
    <row r="778" spans="2:2">
      <c r="B778" s="3"/>
    </row>
    <row r="779" spans="2:2">
      <c r="B779" s="3"/>
    </row>
    <row r="780" spans="2:2">
      <c r="B780" s="3"/>
    </row>
    <row r="781" spans="2:2">
      <c r="B781" s="3"/>
    </row>
    <row r="782" spans="2:2">
      <c r="B782" s="3"/>
    </row>
    <row r="783" spans="2:2">
      <c r="B783" s="3"/>
    </row>
    <row r="784" spans="2:2">
      <c r="B784" s="3"/>
    </row>
    <row r="785" spans="2:2">
      <c r="B785" s="3"/>
    </row>
    <row r="786" spans="2:2">
      <c r="B786" s="3"/>
    </row>
    <row r="787" spans="2:2">
      <c r="B787" s="3"/>
    </row>
    <row r="788" spans="2:2">
      <c r="B788" s="3"/>
    </row>
    <row r="789" spans="2:2">
      <c r="B789" s="3"/>
    </row>
    <row r="790" spans="2:2">
      <c r="B790" s="3"/>
    </row>
    <row r="791" spans="2:2">
      <c r="B791" s="3"/>
    </row>
    <row r="792" spans="2:2">
      <c r="B792" s="3"/>
    </row>
    <row r="793" spans="2:2">
      <c r="B793" s="3"/>
    </row>
    <row r="794" spans="2:2">
      <c r="B794" s="3"/>
    </row>
    <row r="795" spans="2:2">
      <c r="B795" s="3"/>
    </row>
    <row r="796" spans="2:2">
      <c r="B796" s="3"/>
    </row>
    <row r="797" spans="2:2">
      <c r="B797" s="3"/>
    </row>
    <row r="798" spans="2:2">
      <c r="B798" s="3"/>
    </row>
    <row r="799" spans="2:2">
      <c r="B799" s="3"/>
    </row>
    <row r="800" spans="2:2">
      <c r="B800" s="3"/>
    </row>
    <row r="801" spans="2:2">
      <c r="B801" s="3"/>
    </row>
    <row r="802" spans="2:2">
      <c r="B802" s="3"/>
    </row>
    <row r="803" spans="2:2">
      <c r="B803" s="3"/>
    </row>
    <row r="804" spans="2:2">
      <c r="B804" s="3"/>
    </row>
    <row r="805" spans="2:2">
      <c r="B805" s="3"/>
    </row>
    <row r="806" spans="2:2">
      <c r="B806" s="3"/>
    </row>
    <row r="807" spans="2:2">
      <c r="B807" s="3"/>
    </row>
    <row r="808" spans="2:2">
      <c r="B808" s="3"/>
    </row>
    <row r="809" spans="2:2">
      <c r="B809" s="3"/>
    </row>
    <row r="810" spans="2:2">
      <c r="B810" s="3"/>
    </row>
    <row r="811" spans="2:2">
      <c r="B811" s="3"/>
    </row>
    <row r="812" spans="2:2">
      <c r="B812" s="3"/>
    </row>
    <row r="813" spans="2:2">
      <c r="B813" s="3"/>
    </row>
    <row r="814" spans="2:2">
      <c r="B814" s="3"/>
    </row>
    <row r="815" spans="2:2">
      <c r="B815" s="3"/>
    </row>
    <row r="816" spans="2:2">
      <c r="B816" s="3"/>
    </row>
    <row r="817" spans="2:2">
      <c r="B817" s="3"/>
    </row>
    <row r="818" spans="2:2">
      <c r="B818" s="3"/>
    </row>
    <row r="819" spans="2:2">
      <c r="B819" s="3"/>
    </row>
    <row r="820" spans="2:2">
      <c r="B820" s="3"/>
    </row>
    <row r="821" spans="2:2">
      <c r="B821" s="3"/>
    </row>
    <row r="822" spans="2:2">
      <c r="B822" s="3"/>
    </row>
    <row r="823" spans="2:2">
      <c r="B823" s="3"/>
    </row>
    <row r="824" spans="2:2">
      <c r="B824" s="3"/>
    </row>
    <row r="825" spans="2:2">
      <c r="B825" s="3"/>
    </row>
    <row r="826" spans="2:2">
      <c r="B826" s="3"/>
    </row>
    <row r="827" spans="2:2">
      <c r="B827" s="3"/>
    </row>
    <row r="828" spans="2:2">
      <c r="B828" s="3"/>
    </row>
    <row r="829" spans="2:2">
      <c r="B829" s="3"/>
    </row>
    <row r="830" spans="2:2">
      <c r="B830" s="3"/>
    </row>
    <row r="831" spans="2:2">
      <c r="B831" s="3"/>
    </row>
    <row r="832" spans="2:2">
      <c r="B832" s="3"/>
    </row>
    <row r="833" spans="2:2">
      <c r="B833" s="3"/>
    </row>
    <row r="834" spans="2:2">
      <c r="B834" s="3"/>
    </row>
    <row r="835" spans="2:2">
      <c r="B835" s="3"/>
    </row>
    <row r="836" spans="2:2">
      <c r="B836" s="3"/>
    </row>
    <row r="837" spans="2:2">
      <c r="B837" s="3"/>
    </row>
    <row r="838" spans="2:2">
      <c r="B838" s="3"/>
    </row>
    <row r="839" spans="2:2">
      <c r="B839" s="3"/>
    </row>
    <row r="840" spans="2:2">
      <c r="B840" s="3"/>
    </row>
    <row r="841" spans="2:2">
      <c r="B841" s="3"/>
    </row>
    <row r="842" spans="2:2">
      <c r="B842" s="3"/>
    </row>
    <row r="843" spans="2:2">
      <c r="B843" s="3"/>
    </row>
    <row r="844" spans="2:2">
      <c r="B844" s="3"/>
    </row>
    <row r="845" spans="2:2">
      <c r="B845" s="3"/>
    </row>
    <row r="846" spans="2:2">
      <c r="B846" s="3"/>
    </row>
    <row r="847" spans="2:2">
      <c r="B847" s="3"/>
    </row>
    <row r="848" spans="2:2">
      <c r="B848" s="3"/>
    </row>
    <row r="849" spans="2:2">
      <c r="B849" s="3"/>
    </row>
    <row r="850" spans="2:2">
      <c r="B850" s="3"/>
    </row>
    <row r="851" spans="2:2">
      <c r="B851" s="3"/>
    </row>
    <row r="852" spans="2:2">
      <c r="B852" s="3"/>
    </row>
    <row r="853" spans="2:2">
      <c r="B853" s="3"/>
    </row>
    <row r="854" spans="2:2">
      <c r="B854" s="3"/>
    </row>
    <row r="855" spans="2:2">
      <c r="B855" s="3"/>
    </row>
    <row r="856" spans="2:2">
      <c r="B856" s="3"/>
    </row>
    <row r="857" spans="2:2">
      <c r="B857" s="3"/>
    </row>
    <row r="858" spans="2:2">
      <c r="B858" s="3"/>
    </row>
    <row r="859" spans="2:2">
      <c r="B859" s="3"/>
    </row>
    <row r="860" spans="2:2">
      <c r="B860" s="3"/>
    </row>
    <row r="861" spans="2:2">
      <c r="B861" s="3"/>
    </row>
    <row r="862" spans="2:2">
      <c r="B862" s="3"/>
    </row>
    <row r="863" spans="2:2">
      <c r="B863" s="3"/>
    </row>
    <row r="864" spans="2:2">
      <c r="B864" s="3"/>
    </row>
    <row r="865" spans="2:2">
      <c r="B865" s="3"/>
    </row>
    <row r="866" spans="2:2">
      <c r="B866" s="3"/>
    </row>
    <row r="867" spans="2:2">
      <c r="B867" s="3"/>
    </row>
    <row r="868" spans="2:2">
      <c r="B868" s="3"/>
    </row>
    <row r="869" spans="2:2">
      <c r="B869" s="3"/>
    </row>
    <row r="870" spans="2:2">
      <c r="B870" s="3"/>
    </row>
    <row r="871" spans="2:2">
      <c r="B871" s="3"/>
    </row>
    <row r="872" spans="2:2">
      <c r="B872" s="3"/>
    </row>
    <row r="873" spans="2:2">
      <c r="B873" s="3"/>
    </row>
    <row r="874" spans="2:2">
      <c r="B874" s="3"/>
    </row>
    <row r="875" spans="2:2">
      <c r="B875" s="3"/>
    </row>
    <row r="876" spans="2:2">
      <c r="B876" s="3"/>
    </row>
    <row r="877" spans="2:2">
      <c r="B877" s="3"/>
    </row>
    <row r="878" spans="2:2">
      <c r="B878" s="3"/>
    </row>
    <row r="879" spans="2:2">
      <c r="B879" s="3"/>
    </row>
    <row r="880" spans="2:2">
      <c r="B880" s="3"/>
    </row>
    <row r="881" spans="2:2">
      <c r="B881" s="3"/>
    </row>
    <row r="882" spans="2:2">
      <c r="B882" s="3"/>
    </row>
    <row r="883" spans="2:2">
      <c r="B883" s="3"/>
    </row>
    <row r="884" spans="2:2">
      <c r="B884" s="3"/>
    </row>
    <row r="885" spans="2:2">
      <c r="B885" s="3"/>
    </row>
    <row r="886" spans="2:2">
      <c r="B886" s="3"/>
    </row>
    <row r="887" spans="2:2">
      <c r="B887" s="3"/>
    </row>
    <row r="888" spans="2:2">
      <c r="B888" s="3"/>
    </row>
    <row r="889" spans="2:2">
      <c r="B889" s="3"/>
    </row>
    <row r="890" spans="2:2">
      <c r="B890" s="3"/>
    </row>
    <row r="891" spans="2:2">
      <c r="B891" s="3"/>
    </row>
    <row r="892" spans="2:2">
      <c r="B892" s="3"/>
    </row>
    <row r="893" spans="2:2">
      <c r="B893" s="3"/>
    </row>
    <row r="894" spans="2:2">
      <c r="B894" s="3"/>
    </row>
    <row r="895" spans="2:2">
      <c r="B895" s="3"/>
    </row>
    <row r="896" spans="2:2">
      <c r="B896" s="3"/>
    </row>
    <row r="897" spans="2:2">
      <c r="B897" s="3"/>
    </row>
    <row r="898" spans="2:2">
      <c r="B898" s="3"/>
    </row>
    <row r="899" spans="2:2">
      <c r="B899" s="3"/>
    </row>
    <row r="900" spans="2:2">
      <c r="B900" s="3"/>
    </row>
    <row r="901" spans="2:2">
      <c r="B901" s="3"/>
    </row>
    <row r="902" spans="2:2">
      <c r="B902" s="3"/>
    </row>
    <row r="903" spans="2:2">
      <c r="B903" s="3"/>
    </row>
    <row r="904" spans="2:2">
      <c r="B904" s="3"/>
    </row>
    <row r="905" spans="2:2">
      <c r="B905" s="3"/>
    </row>
    <row r="906" spans="2:2">
      <c r="B906" s="3"/>
    </row>
    <row r="907" spans="2:2">
      <c r="B907" s="3"/>
    </row>
    <row r="908" spans="2:2">
      <c r="B908" s="3"/>
    </row>
    <row r="909" spans="2:2">
      <c r="B909" s="3"/>
    </row>
    <row r="910" spans="2:2">
      <c r="B910" s="3"/>
    </row>
    <row r="911" spans="2:2">
      <c r="B911" s="3"/>
    </row>
    <row r="912" spans="2:2">
      <c r="B912" s="3"/>
    </row>
    <row r="913" spans="2:2">
      <c r="B913" s="3"/>
    </row>
    <row r="914" spans="2:2">
      <c r="B914" s="3"/>
    </row>
    <row r="915" spans="2:2">
      <c r="B915" s="3"/>
    </row>
    <row r="916" spans="2:2">
      <c r="B916" s="3"/>
    </row>
    <row r="917" spans="2:2">
      <c r="B917" s="3"/>
    </row>
    <row r="918" spans="2:2">
      <c r="B918" s="3"/>
    </row>
    <row r="919" spans="2:2">
      <c r="B919" s="3"/>
    </row>
    <row r="920" spans="2:2">
      <c r="B920" s="3"/>
    </row>
    <row r="921" spans="2:2">
      <c r="B921" s="3"/>
    </row>
    <row r="922" spans="2:2">
      <c r="B922" s="3"/>
    </row>
    <row r="923" spans="2:2">
      <c r="B923" s="3"/>
    </row>
    <row r="924" spans="2:2">
      <c r="B924" s="3"/>
    </row>
    <row r="925" spans="2:2">
      <c r="B925" s="3"/>
    </row>
    <row r="926" spans="2:2">
      <c r="B926" s="3"/>
    </row>
    <row r="927" spans="2:2">
      <c r="B927" s="3"/>
    </row>
    <row r="928" spans="2:2">
      <c r="B928" s="3"/>
    </row>
    <row r="929" spans="2:2">
      <c r="B929" s="3"/>
    </row>
    <row r="930" spans="2:2">
      <c r="B930" s="3"/>
    </row>
    <row r="931" spans="2:2">
      <c r="B931" s="3"/>
    </row>
    <row r="932" spans="2:2">
      <c r="B932" s="3"/>
    </row>
    <row r="933" spans="2:2">
      <c r="B933" s="3"/>
    </row>
    <row r="934" spans="2:2">
      <c r="B934" s="3"/>
    </row>
    <row r="935" spans="2:2">
      <c r="B935" s="3"/>
    </row>
    <row r="936" spans="2:2">
      <c r="B936" s="3"/>
    </row>
    <row r="937" spans="2:2">
      <c r="B937" s="3"/>
    </row>
    <row r="938" spans="2:2">
      <c r="B938" s="3"/>
    </row>
    <row r="939" spans="2:2">
      <c r="B939" s="3"/>
    </row>
    <row r="940" spans="2:2">
      <c r="B940" s="3"/>
    </row>
    <row r="941" spans="2:2">
      <c r="B941" s="3"/>
    </row>
    <row r="942" spans="2:2">
      <c r="B942" s="3"/>
    </row>
    <row r="943" spans="2:2">
      <c r="B943" s="3"/>
    </row>
    <row r="944" spans="2:2">
      <c r="B944" s="3"/>
    </row>
    <row r="945" spans="2:2">
      <c r="B945" s="3"/>
    </row>
    <row r="946" spans="2:2">
      <c r="B946" s="3"/>
    </row>
    <row r="947" spans="2:2">
      <c r="B947" s="3"/>
    </row>
    <row r="948" spans="2:2">
      <c r="B948" s="3"/>
    </row>
    <row r="949" spans="2:2">
      <c r="B949" s="3"/>
    </row>
    <row r="950" spans="2:2">
      <c r="B950" s="3"/>
    </row>
    <row r="951" spans="2:2">
      <c r="B951" s="3"/>
    </row>
    <row r="952" spans="2:2">
      <c r="B952" s="3"/>
    </row>
    <row r="953" spans="2:2">
      <c r="B953" s="3"/>
    </row>
    <row r="954" spans="2:2">
      <c r="B954" s="3"/>
    </row>
    <row r="955" spans="2:2">
      <c r="B955" s="3"/>
    </row>
    <row r="956" spans="2:2">
      <c r="B956" s="3"/>
    </row>
    <row r="957" spans="2:2">
      <c r="B957" s="3"/>
    </row>
    <row r="958" spans="2:2">
      <c r="B958" s="3"/>
    </row>
    <row r="959" spans="2:2">
      <c r="B959" s="3"/>
    </row>
    <row r="960" spans="2:2">
      <c r="B960" s="3"/>
    </row>
    <row r="961" spans="2:2">
      <c r="B961" s="3"/>
    </row>
    <row r="962" spans="2:2">
      <c r="B962" s="3"/>
    </row>
    <row r="963" spans="2:2">
      <c r="B963" s="3"/>
    </row>
    <row r="964" spans="2:2">
      <c r="B964" s="3"/>
    </row>
    <row r="965" spans="2:2">
      <c r="B965" s="3"/>
    </row>
    <row r="966" spans="2:2">
      <c r="B966" s="3"/>
    </row>
    <row r="967" spans="2:2">
      <c r="B967" s="3"/>
    </row>
    <row r="968" spans="2:2">
      <c r="B968" s="3"/>
    </row>
    <row r="969" spans="2:2">
      <c r="B969" s="3"/>
    </row>
    <row r="970" spans="2:2">
      <c r="B970" s="3"/>
    </row>
    <row r="971" spans="2:2">
      <c r="B971" s="3"/>
    </row>
    <row r="972" spans="2:2">
      <c r="B972" s="3"/>
    </row>
    <row r="973" spans="2:2">
      <c r="B973" s="3"/>
    </row>
    <row r="974" spans="2:2">
      <c r="B974" s="3"/>
    </row>
    <row r="975" spans="2:2">
      <c r="B975" s="3"/>
    </row>
    <row r="976" spans="2:2">
      <c r="B976" s="3"/>
    </row>
    <row r="977" spans="2:2">
      <c r="B977" s="3"/>
    </row>
    <row r="978" spans="2:2">
      <c r="B978" s="3"/>
    </row>
    <row r="979" spans="2:2">
      <c r="B979" s="3"/>
    </row>
    <row r="980" spans="2:2">
      <c r="B980" s="3"/>
    </row>
    <row r="981" spans="2:2">
      <c r="B981" s="3"/>
    </row>
    <row r="982" spans="2:2">
      <c r="B982" s="3"/>
    </row>
    <row r="983" spans="2:2">
      <c r="B983" s="3"/>
    </row>
    <row r="984" spans="2:2">
      <c r="B984" s="3"/>
    </row>
    <row r="985" spans="2:2">
      <c r="B985" s="3"/>
    </row>
    <row r="986" spans="2:2">
      <c r="B986" s="3"/>
    </row>
    <row r="987" spans="2:2">
      <c r="B987" s="3"/>
    </row>
    <row r="988" spans="2:2">
      <c r="B988" s="3"/>
    </row>
    <row r="989" spans="2:2">
      <c r="B989" s="3"/>
    </row>
    <row r="990" spans="2:2">
      <c r="B990" s="3"/>
    </row>
    <row r="991" spans="2:2">
      <c r="B991" s="3"/>
    </row>
    <row r="992" spans="2:2">
      <c r="B992" s="3"/>
    </row>
    <row r="993" spans="2:2">
      <c r="B993" s="3"/>
    </row>
    <row r="994" spans="2:2">
      <c r="B994" s="3"/>
    </row>
    <row r="995" spans="2:2">
      <c r="B995" s="3"/>
    </row>
    <row r="996" spans="2:2">
      <c r="B996" s="3"/>
    </row>
    <row r="997" spans="2:2">
      <c r="B997" s="3"/>
    </row>
    <row r="998" spans="2:2">
      <c r="B998" s="3"/>
    </row>
    <row r="999" spans="2:2">
      <c r="B999" s="3"/>
    </row>
    <row r="1000" spans="2:2">
      <c r="B1000" s="3"/>
    </row>
    <row r="1001" spans="2:2">
      <c r="B1001" s="3"/>
    </row>
    <row r="1002" spans="2:2">
      <c r="B1002" s="3"/>
    </row>
    <row r="1003" spans="2:2">
      <c r="B1003" s="3"/>
    </row>
    <row r="1004" spans="2:2">
      <c r="B1004" s="3"/>
    </row>
    <row r="1005" spans="2:2">
      <c r="B1005" s="3"/>
    </row>
    <row r="1006" spans="2:2">
      <c r="B1006" s="3"/>
    </row>
    <row r="1007" spans="2:2">
      <c r="B1007" s="3"/>
    </row>
    <row r="1008" spans="2:2">
      <c r="B1008" s="3"/>
    </row>
    <row r="1009" spans="2:2">
      <c r="B1009" s="3"/>
    </row>
    <row r="1010" spans="2:2">
      <c r="B1010" s="3"/>
    </row>
    <row r="1011" spans="2:2">
      <c r="B1011" s="3"/>
    </row>
    <row r="1012" spans="2:2">
      <c r="B1012" s="3"/>
    </row>
    <row r="1013" spans="2:2">
      <c r="B1013" s="3"/>
    </row>
    <row r="1014" spans="2:2">
      <c r="B1014" s="3"/>
    </row>
    <row r="1015" spans="2:2">
      <c r="B1015" s="3"/>
    </row>
    <row r="1016" spans="2:2">
      <c r="B1016" s="3"/>
    </row>
    <row r="1017" spans="2:2">
      <c r="B1017" s="3"/>
    </row>
    <row r="1018" spans="2:2">
      <c r="B1018" s="3"/>
    </row>
    <row r="1019" spans="2:2">
      <c r="B1019" s="3"/>
    </row>
    <row r="1020" spans="2:2">
      <c r="B1020" s="3"/>
    </row>
    <row r="1021" spans="2:2">
      <c r="B1021" s="3"/>
    </row>
    <row r="1022" spans="2:2">
      <c r="B1022" s="3"/>
    </row>
    <row r="1023" spans="2:2">
      <c r="B1023" s="3"/>
    </row>
    <row r="1024" spans="2:2">
      <c r="B1024" s="3"/>
    </row>
    <row r="1025" spans="2:2">
      <c r="B1025" s="3"/>
    </row>
    <row r="1026" spans="2:2">
      <c r="B1026" s="3"/>
    </row>
    <row r="1027" spans="2:2">
      <c r="B1027" s="3"/>
    </row>
    <row r="1028" spans="2:2">
      <c r="B1028" s="3"/>
    </row>
    <row r="1029" spans="2:2">
      <c r="B1029" s="3"/>
    </row>
    <row r="1030" spans="2:2">
      <c r="B1030" s="3"/>
    </row>
    <row r="1031" spans="2:2">
      <c r="B1031" s="3"/>
    </row>
    <row r="1032" spans="2:2">
      <c r="B1032" s="3"/>
    </row>
    <row r="1033" spans="2:2">
      <c r="B1033" s="3"/>
    </row>
    <row r="1034" spans="2:2">
      <c r="B1034" s="3"/>
    </row>
    <row r="1035" spans="2:2">
      <c r="B1035" s="3"/>
    </row>
    <row r="1036" spans="2:2">
      <c r="B1036" s="3"/>
    </row>
    <row r="1037" spans="2:2">
      <c r="B1037" s="3"/>
    </row>
    <row r="1038" spans="2:2">
      <c r="B1038" s="3"/>
    </row>
    <row r="1039" spans="2:2">
      <c r="B1039" s="3"/>
    </row>
    <row r="1040" spans="2:2">
      <c r="B1040" s="3"/>
    </row>
    <row r="1041" spans="2:2">
      <c r="B1041" s="3"/>
    </row>
    <row r="1042" spans="2:2">
      <c r="B1042" s="3"/>
    </row>
    <row r="1043" spans="2:2">
      <c r="B1043" s="3"/>
    </row>
    <row r="1044" spans="2:2">
      <c r="B1044" s="3"/>
    </row>
    <row r="1045" spans="2:2">
      <c r="B1045" s="3"/>
    </row>
    <row r="1046" spans="2:2">
      <c r="B1046" s="3"/>
    </row>
    <row r="1047" spans="2:2">
      <c r="B1047" s="3"/>
    </row>
    <row r="1048" spans="2:2">
      <c r="B1048" s="3"/>
    </row>
    <row r="1049" spans="2:2">
      <c r="B1049" s="3"/>
    </row>
    <row r="1050" spans="2:2">
      <c r="B1050" s="3"/>
    </row>
    <row r="1051" spans="2:2">
      <c r="B1051" s="3"/>
    </row>
    <row r="1052" spans="2:2">
      <c r="B1052" s="3"/>
    </row>
    <row r="1053" spans="2:2">
      <c r="B1053" s="3"/>
    </row>
    <row r="1054" spans="2:2">
      <c r="B1054" s="3"/>
    </row>
    <row r="1055" spans="2:2">
      <c r="B1055" s="3"/>
    </row>
    <row r="1056" spans="2:2">
      <c r="B1056" s="3"/>
    </row>
    <row r="1057" spans="2:2">
      <c r="B1057" s="3"/>
    </row>
    <row r="1058" spans="2:2">
      <c r="B1058" s="3"/>
    </row>
    <row r="1059" spans="2:2">
      <c r="B1059" s="3"/>
    </row>
    <row r="1060" spans="2:2">
      <c r="B1060" s="3"/>
    </row>
    <row r="1061" spans="2:2">
      <c r="B1061" s="3"/>
    </row>
    <row r="1062" spans="2:2">
      <c r="B1062" s="3"/>
    </row>
    <row r="1063" spans="2:2">
      <c r="B1063" s="3"/>
    </row>
    <row r="1064" spans="2:2">
      <c r="B1064" s="3"/>
    </row>
    <row r="1065" spans="2:2">
      <c r="B1065" s="3"/>
    </row>
    <row r="1066" spans="2:2">
      <c r="B1066" s="3"/>
    </row>
    <row r="1067" spans="2:2">
      <c r="B1067" s="3"/>
    </row>
    <row r="1068" spans="2:2">
      <c r="B1068" s="3"/>
    </row>
    <row r="1069" spans="2:2">
      <c r="B1069" s="3"/>
    </row>
    <row r="1070" spans="2:2">
      <c r="B1070" s="3"/>
    </row>
    <row r="1071" spans="2:2">
      <c r="B1071" s="3"/>
    </row>
    <row r="1072" spans="2:2">
      <c r="B1072" s="3"/>
    </row>
    <row r="1073" spans="2:2">
      <c r="B1073" s="3"/>
    </row>
    <row r="1074" spans="2:2">
      <c r="B1074" s="3"/>
    </row>
    <row r="1075" spans="2:2">
      <c r="B1075" s="3"/>
    </row>
    <row r="1076" spans="2:2">
      <c r="B1076" s="3"/>
    </row>
    <row r="1077" spans="2:2">
      <c r="B1077" s="3"/>
    </row>
    <row r="1078" spans="2:2">
      <c r="B1078" s="3"/>
    </row>
    <row r="1079" spans="2:2">
      <c r="B1079" s="3"/>
    </row>
    <row r="1080" spans="2:2">
      <c r="B1080" s="3"/>
    </row>
    <row r="1081" spans="2:2">
      <c r="B1081" s="3"/>
    </row>
    <row r="1082" spans="2:2">
      <c r="B1082" s="3"/>
    </row>
    <row r="1083" spans="2:2">
      <c r="B1083" s="3"/>
    </row>
    <row r="1084" spans="2:2">
      <c r="B1084" s="3"/>
    </row>
    <row r="1085" spans="2:2">
      <c r="B1085" s="3"/>
    </row>
    <row r="1086" spans="2:2">
      <c r="B1086" s="3"/>
    </row>
    <row r="1087" spans="2:2">
      <c r="B1087" s="3"/>
    </row>
    <row r="1088" spans="2:2">
      <c r="B1088" s="3"/>
    </row>
    <row r="1089" spans="2:2">
      <c r="B1089" s="3"/>
    </row>
    <row r="1090" spans="2:2">
      <c r="B1090" s="3"/>
    </row>
    <row r="1091" spans="2:2">
      <c r="B1091" s="3"/>
    </row>
    <row r="1092" spans="2:2">
      <c r="B1092" s="3"/>
    </row>
    <row r="1093" spans="2:2">
      <c r="B1093" s="3"/>
    </row>
    <row r="1094" spans="2:2">
      <c r="B1094" s="3"/>
    </row>
    <row r="1095" spans="2:2">
      <c r="B1095" s="3"/>
    </row>
    <row r="1096" spans="2:2">
      <c r="B1096" s="3"/>
    </row>
    <row r="1097" spans="2:2">
      <c r="B1097" s="3"/>
    </row>
    <row r="1098" spans="2:2">
      <c r="B1098" s="3"/>
    </row>
    <row r="1099" spans="2:2">
      <c r="B1099" s="3"/>
    </row>
    <row r="1100" spans="2:2">
      <c r="B1100" s="3"/>
    </row>
    <row r="1101" spans="2:2">
      <c r="B1101" s="3"/>
    </row>
    <row r="1102" spans="2:2">
      <c r="B1102" s="3"/>
    </row>
    <row r="1103" spans="2:2">
      <c r="B1103" s="3"/>
    </row>
    <row r="1104" spans="2:2">
      <c r="B1104" s="3"/>
    </row>
    <row r="1105" spans="2:2">
      <c r="B1105" s="3"/>
    </row>
    <row r="1106" spans="2:2">
      <c r="B1106" s="3"/>
    </row>
    <row r="1107" spans="2:2">
      <c r="B1107" s="3"/>
    </row>
    <row r="1108" spans="2:2">
      <c r="B1108" s="3"/>
    </row>
    <row r="1109" spans="2:2">
      <c r="B1109" s="3"/>
    </row>
    <row r="1110" spans="2:2">
      <c r="B1110" s="3"/>
    </row>
    <row r="1111" spans="2:2">
      <c r="B1111" s="3"/>
    </row>
    <row r="1112" spans="2:2">
      <c r="B1112" s="3"/>
    </row>
    <row r="1113" spans="2:2">
      <c r="B1113" s="3"/>
    </row>
    <row r="1114" spans="2:2">
      <c r="B1114" s="3"/>
    </row>
    <row r="1115" spans="2:2">
      <c r="B1115" s="3"/>
    </row>
    <row r="1116" spans="2:2">
      <c r="B1116" s="3"/>
    </row>
    <row r="1117" spans="2:2">
      <c r="B1117" s="3"/>
    </row>
    <row r="1118" spans="2:2">
      <c r="B1118" s="3"/>
    </row>
    <row r="1119" spans="2:2">
      <c r="B1119" s="3"/>
    </row>
    <row r="1120" spans="2:2">
      <c r="B1120" s="3"/>
    </row>
    <row r="1121" spans="2:2">
      <c r="B1121" s="3"/>
    </row>
    <row r="1122" spans="2:2">
      <c r="B1122" s="3"/>
    </row>
    <row r="1123" spans="2:2">
      <c r="B1123" s="3"/>
    </row>
    <row r="1124" spans="2:2">
      <c r="B1124" s="3"/>
    </row>
    <row r="1125" spans="2:2">
      <c r="B1125" s="3"/>
    </row>
    <row r="1126" spans="2:2">
      <c r="B1126" s="3"/>
    </row>
    <row r="1127" spans="2:2">
      <c r="B1127" s="3"/>
    </row>
    <row r="1128" spans="2:2">
      <c r="B1128" s="3"/>
    </row>
    <row r="1129" spans="2:2">
      <c r="B1129" s="3"/>
    </row>
    <row r="1130" spans="2:2">
      <c r="B1130" s="3"/>
    </row>
    <row r="1131" spans="2:2">
      <c r="B1131" s="3"/>
    </row>
    <row r="1132" spans="2:2">
      <c r="B1132" s="3"/>
    </row>
    <row r="1133" spans="2:2">
      <c r="B1133" s="3"/>
    </row>
    <row r="1134" spans="2:2">
      <c r="B1134" s="3"/>
    </row>
    <row r="1135" spans="2:2">
      <c r="B1135" s="3"/>
    </row>
    <row r="1136" spans="2:2">
      <c r="B1136" s="3"/>
    </row>
    <row r="1137" spans="2:2">
      <c r="B1137" s="3"/>
    </row>
    <row r="1138" spans="2:2">
      <c r="B1138" s="3"/>
    </row>
    <row r="1139" spans="2:2">
      <c r="B1139" s="3"/>
    </row>
    <row r="1140" spans="2:2">
      <c r="B1140" s="3"/>
    </row>
    <row r="1141" spans="2:2">
      <c r="B1141" s="3"/>
    </row>
    <row r="1142" spans="2:2">
      <c r="B1142" s="3"/>
    </row>
    <row r="1143" spans="2:2">
      <c r="B1143" s="3"/>
    </row>
    <row r="1144" spans="2:2">
      <c r="B1144" s="3"/>
    </row>
    <row r="1145" spans="2:2">
      <c r="B1145" s="3"/>
    </row>
    <row r="1146" spans="2:2">
      <c r="B1146" s="3"/>
    </row>
    <row r="1147" spans="2:2">
      <c r="B1147" s="3"/>
    </row>
    <row r="1148" spans="2:2">
      <c r="B1148" s="3"/>
    </row>
    <row r="1149" spans="2:2">
      <c r="B1149" s="3"/>
    </row>
    <row r="1150" spans="2:2">
      <c r="B1150" s="3"/>
    </row>
    <row r="1151" spans="2:2">
      <c r="B1151" s="3"/>
    </row>
    <row r="1152" spans="2:2">
      <c r="B1152" s="3"/>
    </row>
    <row r="1153" spans="2:2">
      <c r="B1153" s="3"/>
    </row>
    <row r="1154" spans="2:2">
      <c r="B1154" s="3"/>
    </row>
    <row r="1155" spans="2:2">
      <c r="B1155" s="3"/>
    </row>
    <row r="1156" spans="2:2">
      <c r="B1156" s="3"/>
    </row>
    <row r="1157" spans="2:2">
      <c r="B1157" s="3"/>
    </row>
    <row r="1158" spans="2:2">
      <c r="B1158" s="3"/>
    </row>
    <row r="1159" spans="2:2">
      <c r="B1159" s="3"/>
    </row>
    <row r="1160" spans="2:2">
      <c r="B1160" s="3"/>
    </row>
    <row r="1161" spans="2:2">
      <c r="B1161" s="3"/>
    </row>
    <row r="1162" spans="2:2">
      <c r="B1162" s="3"/>
    </row>
    <row r="1163" spans="2:2">
      <c r="B1163" s="3"/>
    </row>
    <row r="1164" spans="2:2">
      <c r="B1164" s="3"/>
    </row>
    <row r="1165" spans="2:2">
      <c r="B1165" s="3"/>
    </row>
    <row r="1166" spans="2:2">
      <c r="B1166" s="3"/>
    </row>
    <row r="1167" spans="2:2">
      <c r="B1167" s="3"/>
    </row>
    <row r="1168" spans="2:2">
      <c r="B1168" s="3"/>
    </row>
    <row r="1169" spans="2:2">
      <c r="B1169" s="3"/>
    </row>
    <row r="1170" spans="2:2">
      <c r="B1170" s="3"/>
    </row>
    <row r="1171" spans="2:2">
      <c r="B1171" s="3"/>
    </row>
    <row r="1172" spans="2:2">
      <c r="B1172" s="3"/>
    </row>
    <row r="1173" spans="2:2">
      <c r="B1173" s="3"/>
    </row>
    <row r="1174" spans="2:2">
      <c r="B1174" s="3"/>
    </row>
    <row r="1175" spans="2:2">
      <c r="B1175" s="3"/>
    </row>
    <row r="1176" spans="2:2">
      <c r="B1176" s="3"/>
    </row>
    <row r="1177" spans="2:2">
      <c r="B1177" s="3"/>
    </row>
    <row r="1178" spans="2:2">
      <c r="B1178" s="3"/>
    </row>
    <row r="1179" spans="2:2">
      <c r="B1179" s="3"/>
    </row>
    <row r="1180" spans="2:2">
      <c r="B1180" s="3"/>
    </row>
    <row r="1181" spans="2:2">
      <c r="B1181" s="3"/>
    </row>
    <row r="1182" spans="2:2">
      <c r="B1182" s="3"/>
    </row>
    <row r="1183" spans="2:2">
      <c r="B1183" s="3"/>
    </row>
    <row r="1184" spans="2:2">
      <c r="B1184" s="3"/>
    </row>
    <row r="1185" spans="2:2">
      <c r="B1185" s="3"/>
    </row>
    <row r="1186" spans="2:2">
      <c r="B1186" s="3"/>
    </row>
    <row r="1187" spans="2:2">
      <c r="B1187" s="3"/>
    </row>
    <row r="1188" spans="2:2">
      <c r="B1188" s="3"/>
    </row>
    <row r="1189" spans="2:2">
      <c r="B1189" s="3"/>
    </row>
    <row r="1190" spans="2:2">
      <c r="B1190" s="3"/>
    </row>
    <row r="1191" spans="2:2">
      <c r="B1191" s="3"/>
    </row>
    <row r="1192" spans="2:2">
      <c r="B1192" s="3"/>
    </row>
    <row r="1193" spans="2:2">
      <c r="B1193" s="3"/>
    </row>
    <row r="1194" spans="2:2">
      <c r="B1194" s="3"/>
    </row>
    <row r="1195" spans="2:2">
      <c r="B1195" s="3"/>
    </row>
    <row r="1196" spans="2:2">
      <c r="B1196" s="3"/>
    </row>
    <row r="1197" spans="2:2">
      <c r="B1197" s="3"/>
    </row>
    <row r="1198" spans="2:2">
      <c r="B1198" s="3"/>
    </row>
    <row r="1199" spans="2:2">
      <c r="B1199" s="3"/>
    </row>
    <row r="1200" spans="2:2">
      <c r="B1200" s="3"/>
    </row>
    <row r="1201" spans="2:2">
      <c r="B1201" s="3"/>
    </row>
    <row r="1048576" spans="14:14">
      <c r="N1048576" s="4">
        <f>SUM(N2:N1048575)</f>
        <v>512799.45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</dc:creator>
  <cp:lastModifiedBy>Dikshitha Kankanala</cp:lastModifiedBy>
  <dcterms:created xsi:type="dcterms:W3CDTF">2025-06-21T13:19:00Z</dcterms:created>
  <dcterms:modified xsi:type="dcterms:W3CDTF">2025-11-10T07:03:15Z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54F1CE0E154C40BCA53627A1D285520F_12</vt:lpwstr>
  </property>
  <property fmtid="{D5CDD505-2E9C-101B-9397-08002B2CF9AE}" pid="3" name="KSOProductBuildVer">
    <vt:lpwstr>1033-12.2.0.23155</vt:lpwstr>
  </property>
</Properties>
</file>